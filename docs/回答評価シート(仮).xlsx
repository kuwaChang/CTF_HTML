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kokoh\CTF\CTF_HTML\docs\"/>
    </mc:Choice>
  </mc:AlternateContent>
  <xr:revisionPtr revIDLastSave="0" documentId="13_ncr:1_{8C73D725-04DF-474C-BCB1-F05B59F52F33}" xr6:coauthVersionLast="47" xr6:coauthVersionMax="47" xr10:uidLastSave="{00000000-0000-0000-0000-000000000000}"/>
  <bookViews>
    <workbookView xWindow="-108" yWindow="-108" windowWidth="23256" windowHeight="12456" xr2:uid="{00000000-000D-0000-FFFF-FFFF00000000}"/>
  </bookViews>
  <sheets>
    <sheet name="chank=500" sheetId="1" r:id="rId1"/>
    <sheet name="chank=1000" sheetId="2" r:id="rId2"/>
    <sheet name="chank=1500"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7" i="1" l="1"/>
  <c r="H27" i="1"/>
  <c r="I27" i="1"/>
  <c r="J27" i="1"/>
  <c r="K27" i="1"/>
  <c r="L27" i="1"/>
  <c r="M27" i="1"/>
  <c r="N24" i="1"/>
  <c r="M12" i="1"/>
  <c r="N84" i="3"/>
  <c r="M84" i="3"/>
  <c r="N83" i="3"/>
  <c r="M83" i="3"/>
  <c r="N82" i="3"/>
  <c r="M82" i="3"/>
  <c r="N81" i="3"/>
  <c r="M81" i="3"/>
  <c r="N80" i="3"/>
  <c r="M80" i="3"/>
  <c r="N79" i="3"/>
  <c r="M79" i="3"/>
  <c r="N78" i="3"/>
  <c r="M78" i="3"/>
  <c r="N77" i="3"/>
  <c r="M77" i="3"/>
  <c r="N76" i="3"/>
  <c r="M76" i="3"/>
  <c r="N75" i="3"/>
  <c r="M75" i="3"/>
  <c r="N74" i="3"/>
  <c r="M74" i="3"/>
  <c r="N73" i="3"/>
  <c r="M73" i="3"/>
  <c r="N72" i="3"/>
  <c r="M72" i="3"/>
  <c r="N71" i="3"/>
  <c r="M71" i="3"/>
  <c r="N70" i="3"/>
  <c r="M70" i="3"/>
  <c r="N69" i="3"/>
  <c r="M69" i="3"/>
  <c r="N68" i="3"/>
  <c r="M68" i="3"/>
  <c r="N67" i="3"/>
  <c r="M67" i="3"/>
  <c r="N66" i="3"/>
  <c r="M66" i="3"/>
  <c r="N65" i="3"/>
  <c r="M65" i="3"/>
  <c r="N64" i="3"/>
  <c r="M64" i="3"/>
  <c r="N63" i="3"/>
  <c r="M63" i="3"/>
  <c r="N62" i="3"/>
  <c r="M62" i="3"/>
  <c r="N61" i="3"/>
  <c r="M61" i="3"/>
  <c r="N60" i="3"/>
  <c r="M60" i="3"/>
  <c r="N55" i="3"/>
  <c r="M55" i="3"/>
  <c r="N54" i="3"/>
  <c r="M54" i="3"/>
  <c r="N53" i="3"/>
  <c r="M53" i="3"/>
  <c r="N52" i="3"/>
  <c r="M52" i="3"/>
  <c r="N51" i="3"/>
  <c r="M51" i="3"/>
  <c r="N50" i="3"/>
  <c r="M50" i="3"/>
  <c r="N49" i="3"/>
  <c r="M49" i="3"/>
  <c r="N48" i="3"/>
  <c r="M48" i="3"/>
  <c r="N47" i="3"/>
  <c r="M47" i="3"/>
  <c r="N46" i="3"/>
  <c r="M46" i="3"/>
  <c r="N45" i="3"/>
  <c r="M45" i="3"/>
  <c r="N44" i="3"/>
  <c r="M44" i="3"/>
  <c r="N43" i="3"/>
  <c r="M43" i="3"/>
  <c r="N42" i="3"/>
  <c r="M42" i="3"/>
  <c r="N41" i="3"/>
  <c r="M41" i="3"/>
  <c r="N40" i="3"/>
  <c r="M40" i="3"/>
  <c r="N39" i="3"/>
  <c r="M39" i="3"/>
  <c r="N38" i="3"/>
  <c r="M38" i="3"/>
  <c r="N37" i="3"/>
  <c r="M37" i="3"/>
  <c r="N36" i="3"/>
  <c r="M36" i="3"/>
  <c r="N35" i="3"/>
  <c r="M35" i="3"/>
  <c r="N34" i="3"/>
  <c r="M34" i="3"/>
  <c r="N33" i="3"/>
  <c r="M33" i="3"/>
  <c r="N32" i="3"/>
  <c r="M32" i="3"/>
  <c r="N31" i="3"/>
  <c r="M31" i="3"/>
  <c r="N26" i="3"/>
  <c r="M26" i="3"/>
  <c r="N25" i="3"/>
  <c r="M25" i="3"/>
  <c r="N24" i="3"/>
  <c r="M24" i="3"/>
  <c r="N23" i="3"/>
  <c r="M23" i="3"/>
  <c r="N22" i="3"/>
  <c r="M22" i="3"/>
  <c r="N21" i="3"/>
  <c r="M21" i="3"/>
  <c r="N20" i="3"/>
  <c r="M20" i="3"/>
  <c r="N19" i="3"/>
  <c r="M19" i="3"/>
  <c r="N18" i="3"/>
  <c r="M18" i="3"/>
  <c r="N17" i="3"/>
  <c r="M17" i="3"/>
  <c r="N16" i="3"/>
  <c r="M16" i="3"/>
  <c r="N15" i="3"/>
  <c r="M15" i="3"/>
  <c r="N14" i="3"/>
  <c r="M14" i="3"/>
  <c r="N13" i="3"/>
  <c r="M13" i="3"/>
  <c r="N12" i="3"/>
  <c r="M12" i="3"/>
  <c r="N11" i="3"/>
  <c r="M11" i="3"/>
  <c r="N10" i="3"/>
  <c r="M10" i="3"/>
  <c r="N9" i="3"/>
  <c r="M9" i="3"/>
  <c r="N8" i="3"/>
  <c r="M8" i="3"/>
  <c r="N7" i="3"/>
  <c r="M7" i="3"/>
  <c r="N6" i="3"/>
  <c r="M6" i="3"/>
  <c r="N5" i="3"/>
  <c r="M5" i="3"/>
  <c r="N4" i="3"/>
  <c r="M4" i="3"/>
  <c r="N3" i="3"/>
  <c r="M3" i="3"/>
  <c r="N2" i="3"/>
  <c r="M2" i="3"/>
  <c r="N84" i="2"/>
  <c r="M84" i="2"/>
  <c r="N83" i="2"/>
  <c r="M83" i="2"/>
  <c r="N82" i="2"/>
  <c r="M82" i="2"/>
  <c r="N81" i="2"/>
  <c r="M81" i="2"/>
  <c r="N80" i="2"/>
  <c r="M80" i="2"/>
  <c r="N79" i="2"/>
  <c r="M79" i="2"/>
  <c r="N78" i="2"/>
  <c r="M78" i="2"/>
  <c r="N77" i="2"/>
  <c r="M77" i="2"/>
  <c r="N76" i="2"/>
  <c r="M76" i="2"/>
  <c r="N75" i="2"/>
  <c r="M75" i="2"/>
  <c r="N74" i="2"/>
  <c r="M74" i="2"/>
  <c r="N73" i="2"/>
  <c r="M73" i="2"/>
  <c r="N72" i="2"/>
  <c r="M72" i="2"/>
  <c r="N71" i="2"/>
  <c r="M71" i="2"/>
  <c r="N70" i="2"/>
  <c r="M70" i="2"/>
  <c r="N69" i="2"/>
  <c r="M69" i="2"/>
  <c r="N68" i="2"/>
  <c r="M68" i="2"/>
  <c r="N67" i="2"/>
  <c r="M67" i="2"/>
  <c r="N66" i="2"/>
  <c r="M66" i="2"/>
  <c r="N65" i="2"/>
  <c r="M65" i="2"/>
  <c r="N64" i="2"/>
  <c r="M64" i="2"/>
  <c r="N63" i="2"/>
  <c r="M63" i="2"/>
  <c r="N62" i="2"/>
  <c r="M62" i="2"/>
  <c r="N61" i="2"/>
  <c r="M61" i="2"/>
  <c r="N60" i="2"/>
  <c r="M60" i="2"/>
  <c r="N55" i="2"/>
  <c r="M55" i="2"/>
  <c r="N54" i="2"/>
  <c r="M54" i="2"/>
  <c r="N53" i="2"/>
  <c r="M53" i="2"/>
  <c r="N52" i="2"/>
  <c r="M52" i="2"/>
  <c r="N51" i="2"/>
  <c r="M51" i="2"/>
  <c r="N50" i="2"/>
  <c r="M50" i="2"/>
  <c r="N49" i="2"/>
  <c r="M49" i="2"/>
  <c r="N48" i="2"/>
  <c r="M48" i="2"/>
  <c r="N47" i="2"/>
  <c r="M47" i="2"/>
  <c r="N46" i="2"/>
  <c r="M46" i="2"/>
  <c r="N45" i="2"/>
  <c r="M45" i="2"/>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26" i="2"/>
  <c r="M26" i="2"/>
  <c r="N25" i="2"/>
  <c r="M25" i="2"/>
  <c r="N24" i="2"/>
  <c r="M24" i="2"/>
  <c r="N23" i="2"/>
  <c r="M23" i="2"/>
  <c r="N22" i="2"/>
  <c r="M22" i="2"/>
  <c r="N21" i="2"/>
  <c r="M21" i="2"/>
  <c r="N20" i="2"/>
  <c r="M20" i="2"/>
  <c r="N19" i="2"/>
  <c r="M19" i="2"/>
  <c r="N18" i="2"/>
  <c r="M18" i="2"/>
  <c r="N17" i="2"/>
  <c r="M17" i="2"/>
  <c r="N16" i="2"/>
  <c r="M16" i="2"/>
  <c r="N15" i="2"/>
  <c r="M15" i="2"/>
  <c r="N14" i="2"/>
  <c r="M14" i="2"/>
  <c r="N13" i="2"/>
  <c r="M13" i="2"/>
  <c r="N12" i="2"/>
  <c r="M12" i="2"/>
  <c r="N11" i="2"/>
  <c r="M11" i="2"/>
  <c r="N10" i="2"/>
  <c r="M10" i="2"/>
  <c r="N9" i="2"/>
  <c r="M9" i="2"/>
  <c r="N8" i="2"/>
  <c r="M8" i="2"/>
  <c r="N7" i="2"/>
  <c r="M7" i="2"/>
  <c r="N6" i="2"/>
  <c r="M6" i="2"/>
  <c r="N5" i="2"/>
  <c r="M5" i="2"/>
  <c r="N4" i="2"/>
  <c r="M4" i="2"/>
  <c r="N3" i="2"/>
  <c r="M3" i="2"/>
  <c r="N2" i="2"/>
  <c r="M2" i="2"/>
  <c r="N84" i="1"/>
  <c r="M84" i="1"/>
  <c r="N83" i="1"/>
  <c r="M83" i="1"/>
  <c r="N82" i="1"/>
  <c r="M82" i="1"/>
  <c r="N81" i="1"/>
  <c r="M81" i="1"/>
  <c r="N80" i="1"/>
  <c r="M80" i="1"/>
  <c r="N79" i="1"/>
  <c r="M79" i="1"/>
  <c r="N78" i="1"/>
  <c r="M78" i="1"/>
  <c r="N77" i="1"/>
  <c r="M77" i="1"/>
  <c r="N76" i="1"/>
  <c r="M76" i="1"/>
  <c r="N75" i="1"/>
  <c r="M75" i="1"/>
  <c r="N74" i="1"/>
  <c r="M74" i="1"/>
  <c r="N73" i="1"/>
  <c r="M73" i="1"/>
  <c r="N72" i="1"/>
  <c r="M72" i="1"/>
  <c r="N71" i="1"/>
  <c r="M71" i="1"/>
  <c r="N70" i="1"/>
  <c r="M70" i="1"/>
  <c r="N69" i="1"/>
  <c r="M69" i="1"/>
  <c r="N68" i="1"/>
  <c r="M68" i="1"/>
  <c r="N67" i="1"/>
  <c r="M67" i="1"/>
  <c r="N66" i="1"/>
  <c r="M66" i="1"/>
  <c r="N65" i="1"/>
  <c r="M65" i="1"/>
  <c r="N64" i="1"/>
  <c r="M64" i="1"/>
  <c r="N63" i="1"/>
  <c r="M63" i="1"/>
  <c r="N62" i="1"/>
  <c r="M62" i="1"/>
  <c r="N61" i="1"/>
  <c r="M61" i="1"/>
  <c r="N60" i="1"/>
  <c r="M60" i="1"/>
  <c r="N55" i="1"/>
  <c r="M55" i="1"/>
  <c r="N54" i="1"/>
  <c r="M54" i="1"/>
  <c r="N53" i="1"/>
  <c r="M53" i="1"/>
  <c r="N52" i="1"/>
  <c r="M52" i="1"/>
  <c r="N51" i="1"/>
  <c r="M51" i="1"/>
  <c r="N50" i="1"/>
  <c r="M50" i="1"/>
  <c r="N49" i="1"/>
  <c r="M49" i="1"/>
  <c r="N48" i="1"/>
  <c r="M48" i="1"/>
  <c r="N47" i="1"/>
  <c r="M47" i="1"/>
  <c r="N46" i="1"/>
  <c r="M46" i="1"/>
  <c r="N45" i="1"/>
  <c r="M45" i="1"/>
  <c r="N44" i="1"/>
  <c r="M44" i="1"/>
  <c r="N43" i="1"/>
  <c r="M43" i="1"/>
  <c r="N42" i="1"/>
  <c r="M42" i="1"/>
  <c r="N41" i="1"/>
  <c r="M41" i="1"/>
  <c r="N40" i="1"/>
  <c r="M40" i="1"/>
  <c r="N39" i="1"/>
  <c r="M39" i="1"/>
  <c r="N38" i="1"/>
  <c r="M38" i="1"/>
  <c r="N37" i="1"/>
  <c r="M37" i="1"/>
  <c r="N36" i="1"/>
  <c r="M36" i="1"/>
  <c r="N35" i="1"/>
  <c r="M35" i="1"/>
  <c r="N34" i="1"/>
  <c r="M34" i="1"/>
  <c r="N33" i="1"/>
  <c r="M33" i="1"/>
  <c r="N32" i="1"/>
  <c r="M32" i="1"/>
  <c r="N31" i="1"/>
  <c r="M31" i="1"/>
  <c r="N2" i="1"/>
  <c r="N3" i="1"/>
  <c r="N4" i="1"/>
  <c r="N5" i="1"/>
  <c r="N6" i="1"/>
  <c r="N7" i="1"/>
  <c r="N27" i="1" s="1"/>
  <c r="N8" i="1"/>
  <c r="N9" i="1"/>
  <c r="N10" i="1"/>
  <c r="N11" i="1"/>
  <c r="N12" i="1"/>
  <c r="N13" i="1"/>
  <c r="N14" i="1"/>
  <c r="N15" i="1"/>
  <c r="N16" i="1"/>
  <c r="N17" i="1"/>
  <c r="N18" i="1"/>
  <c r="N19" i="1"/>
  <c r="N20" i="1"/>
  <c r="N21" i="1"/>
  <c r="N22" i="1"/>
  <c r="N23" i="1"/>
  <c r="N25" i="1"/>
  <c r="N26" i="1"/>
  <c r="M2" i="1"/>
  <c r="M3" i="1"/>
  <c r="M4" i="1"/>
  <c r="M5" i="1"/>
  <c r="M6" i="1"/>
  <c r="M7" i="1"/>
  <c r="M8" i="1"/>
  <c r="M9" i="1"/>
  <c r="M10" i="1"/>
  <c r="M11" i="1"/>
  <c r="M13" i="1"/>
  <c r="M14" i="1"/>
  <c r="M15" i="1"/>
  <c r="M16" i="1"/>
  <c r="M17" i="1"/>
  <c r="M18" i="1"/>
  <c r="M19" i="1"/>
  <c r="M20" i="1"/>
  <c r="M21" i="1"/>
  <c r="M22" i="1"/>
  <c r="M23" i="1"/>
  <c r="M24" i="1"/>
  <c r="M25" i="1"/>
  <c r="M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tc={1D68CC64-4DCC-404E-A590-A263D42ADF0B}</author>
    <author>tc={DC3DE196-BE20-4FA8-80F2-317AC55398A8}</author>
    <author>tc={52DECB54-A34E-4328-8D9A-018039B7CEC9}</author>
    <author>tc={181A8B0F-6D88-44AD-9590-ACCDE1B8C599}</author>
    <author>tc={EABD9367-EE16-40B3-886E-497C6177D0FC}</author>
    <author>tc={26FCEE8A-AD96-4265-99C8-7F4A747D9076}</author>
    <author>tc={98235AD7-A569-4E6E-9797-B260C4492310}</author>
    <author>tc={F6204486-2C47-4F6F-994C-B70740653565}</author>
    <author>tc={761837CB-7C7A-43D6-AB29-9FABDDAAA89B}</author>
    <author>tc={98BF9756-5004-4C2E-BAB4-1587A0A7D2F3}</author>
    <author>tc={8EE7A7E8-AC0A-4225-9E2B-50085A1529C1}</author>
    <author>tc={F30E42C9-7A7E-461F-89E6-52E94478D161}</author>
    <author>tc={ED6B4B59-7BDA-4261-9A74-21E89336039D}</author>
    <author>tc={F874FB31-9C96-408B-8534-1E8BA803C7D3}</author>
    <author>tc={48151517-F285-4B34-AE1A-40CE992B5646}</author>
    <author>tc={70B8A51C-0D20-4D1A-B33E-19C6DFFD7F79}</author>
    <author>tc={1C016E10-C59F-4EB2-AC7C-DDA8888E40BB}</author>
    <author>tc={578DA281-B6C1-41D5-9983-9F28992D739B}</author>
    <author>tc={7EB1270A-C69D-45A3-8A54-8C7F25450903}</author>
    <author>tc={47F88939-7236-4B25-AA13-E078348037D4}</author>
    <author>tc={6DFA5203-E84C-4F10-B2A2-AD0E4E981EC8}</author>
    <author>tc={ACEA0D26-448A-4834-BED1-DDDF093D4440}</author>
    <author>tc={6FBD0B56-C1E9-4619-8F07-D660A5068946}</author>
    <author>tc={26ACB65A-CD4B-4A5B-97ED-EED27ABA0159}</author>
    <author>tc={2B53837B-7032-4E0D-8CB2-5564F042E5A5}</author>
    <author>tc={3C9DBCE2-469F-42AD-85FC-B5ADE06BA234}</author>
    <author>tc={46BC91B8-DE47-457E-85A1-4ADCDA695043}</author>
    <author>tc={E40C3E9F-B23C-41CC-B8F6-608EEF1F1B27}</author>
    <author>tc={E0458F03-30F3-413E-8B64-442D1254EA2A}</author>
    <author>tc={1D3DB137-B96A-4C45-8812-6D501E068956}</author>
    <author>tc={6A02761B-91E9-4057-AB58-CA8F91A89B31}</author>
    <author>tc={4822F4EC-0ABE-4EB1-A843-D6969D0914EB}</author>
    <author>tc={42A47CF3-8B72-4846-9675-719687E275CD}</author>
    <author>tc={FD550640-A6C4-49C6-A0A9-21F46537DF90}</author>
    <author>tc={603B9597-CE74-4D6E-B138-02BD5C0DBC63}</author>
    <author>tc={92204DAB-E257-44DE-B5B4-34C0E3047970}</author>
    <author>tc={665485B8-6848-449C-A2B7-432416683B7E}</author>
    <author>tc={7E81E65D-66FA-4FEA-A808-81D773378AF3}</author>
    <author>tc={45403371-81CD-419D-9AEC-AEE0982D4BFA}</author>
    <author>tc={AC636D4D-26F4-42B4-954D-B776CC73EC2F}</author>
    <author>tc={A24ED666-A1C0-48E4-8EE8-C9600AB72C49}</author>
    <author>tc={F8B133B0-4EAB-472D-BC37-52D4886E6800}</author>
    <author>tc={5F4E06FC-C0B5-4535-B8AC-5A52F7C7B478}</author>
    <author>tc={35C1616B-B05A-4D86-BC68-61A74B1FC9D0}</author>
    <author>tc={E39B0E98-48CA-40A0-A39A-517D031D1688}</author>
    <author>tc={520F547E-43A2-41F5-ABE0-57AE4AD8D111}</author>
    <author>tc={E0370E33-1BA6-41FA-945F-CB4323B0B4C0}</author>
    <author>tc={F58D676F-B80B-4F9E-BDFF-5D102C68FF83}</author>
    <author>tc={62486016-0328-42CC-8DE2-E4E273D5C992}</author>
    <author>tc={F1AC1A95-008B-4C05-8023-B80A88468872}</author>
    <author>tc={15581633-A299-47A8-BA60-A4774FF4F711}</author>
    <author>tc={264B1199-1901-474C-8C0D-6DB97C47AC60}</author>
    <author>tc={FBFD39D7-2AAA-48FC-8584-F32A1FFA1588}</author>
    <author>tc={BCDD4C9C-B044-4AD5-A438-173F2D5F6308}</author>
    <author>tc={C706633B-A227-4D99-AB8D-50784F717498}</author>
    <author>tc={76C3498C-3814-46B0-961D-67269EF5F13F}</author>
    <author>tc={F5060411-EAF9-4079-ABCB-52FF9301E096}</author>
    <author>tc={A0744676-5331-4532-96C8-7F8AA5AD0165}</author>
    <author>tc={A6EF39AB-571C-490B-838D-3E9473EB19E3}</author>
    <author>tc={26B17829-B992-4A20-9AE6-1D7DF59BF909}</author>
    <author>tc={667A12BB-D28E-4405-AE4D-7404D3BAF123}</author>
    <author>tc={4AD42E83-692D-414A-9621-F5731DD1F0A2}</author>
    <author>tc={E97B0CDF-4EE2-48C5-AFF8-62AF72F26303}</author>
    <author>tc={A9507290-7981-48FF-99F7-5C375D1C5BC0}</author>
    <author>tc={A675364B-977F-4F82-931D-390805D96173}</author>
    <author>tc={9F4CB706-EAAE-42EB-A8BD-EB00C7DD3930}</author>
    <author>tc={729FF969-315B-469D-AB98-A8CFD6A56F18}</author>
    <author>tc={BA78B5D8-3245-4DC7-88AB-DDA2E1967B25}</author>
    <author>tc={E38F4823-6DA5-4976-A3F8-4FD6E8EB7DA5}</author>
    <author>tc={09C83216-E886-48ED-9372-28E3BD126544}</author>
    <author>tc={09EAEF8A-E026-4D37-9115-634C660DA77B}</author>
    <author>tc={A8B19D74-E5F4-4FC0-A08A-CA0C79243798}</author>
    <author>tc={16FBBFFE-FDB1-48AD-976F-D43CBA0F41C8}</author>
    <author>tc={F8709D55-2420-4711-B7C3-A78871E04485}</author>
    <author>tc={5B6B0A2C-7DCF-4A83-AA0F-03945F40207C}</author>
    <author>tc={0FE285F3-E4F8-42CC-B1D1-63C64B913F9E}</author>
    <author>tc={4EF4A3EE-2825-4E78-86DF-6D83D250B152}</author>
    <author>tc={65B5056A-5F5D-425D-A33B-9A32E301CEB0}</author>
    <author>tc={1BD2F001-C867-4FD4-8869-776F596A52CD}</author>
    <author>tc={315A8B75-2FD3-4C1A-8946-B924D8287B1A}</author>
    <author>tc={B2269C04-B9FE-43C3-BD31-226E337CD692}</author>
    <author>tc={3704F560-9A7C-4367-9D9E-35C9533B2222}</author>
    <author>tc={EC04AF73-1B66-4BD0-B98C-D6009595D425}</author>
    <author>tc={D698A3F4-38BF-42A6-8665-E007721D4AC3}</author>
    <author>tc={A75C44B8-0AF5-4D75-93F1-DED179DE1C51}</author>
    <author>tc={C3BA5C48-2D11-4C41-84F0-6B09B9746132}</author>
    <author>tc={657263EA-7AB3-4E3D-A5BA-BB22EB2FA158}</author>
    <author>tc={F06B005B-122B-4AEB-A14B-B706017186A8}</author>
    <author>tc={91165F7B-4E63-4744-91C1-5A8D6A126AED}</author>
    <author>tc={CE88A3DC-30A6-4428-BCCB-2CF5EC5D8C04}</author>
    <author>tc={3636C285-2588-41C1-AA35-5C29CEDC17D5}</author>
    <author>tc={FFE9716D-536A-4414-92A4-9C1569E33D47}</author>
    <author>tc={109B7223-7E5D-4F04-98DC-9386C4A97D3C}</author>
    <author>tc={34C6BC4B-95E5-4178-981C-FD92CBD9D0BA}</author>
    <author>tc={A9EB4A21-B283-4BEF-BD81-1EC02A99BCC3}</author>
    <author>tc={705B0D84-C3BC-42B3-98E3-855F2E59B776}</author>
    <author>tc={C68F3F57-B9D8-4168-88FB-8E80D84E77A1}</author>
    <author>tc={E5F8756B-4FFD-44A6-AD1E-DB5C690127AE}</author>
    <author>tc={96C9A084-9805-463C-8608-BCFF8BB4E8EF}</author>
    <author>tc={210FEBCC-87BF-4C8A-BD67-EEDB21781C19}</author>
    <author>tc={BBC15E22-163F-4DBF-B946-9F89FF99FCF8}</author>
    <author>tc={4CC7F989-41F6-4F4C-85E2-858393105063}</author>
    <author>tc={83983066-9B32-4388-8F7E-CC9CC72A9FBE}</author>
    <author>tc={1B0CF4B9-827A-4DD2-8B34-EC369757A927}</author>
    <author>tc={99BEC55D-FD17-4029-9AB6-C9CC4EE00164}</author>
    <author>tc={1E23645D-E641-476F-ADC1-1FEE798316BA}</author>
    <author>tc={148F74C4-7800-4EF5-A187-AB37ADE62132}</author>
    <author>tc={9862D426-2887-42EB-ABC6-36029C170F28}</author>
    <author>tc={3AD68584-6A8B-4424-A289-7C8C418555A6}</author>
    <author>tc={F354AF5E-7FD2-412D-AEEC-440DFE2CD4B7}</author>
    <author>tc={D6FE9F67-3C9B-41D9-91D0-B89CDD19D7AB}</author>
    <author>tc={5FC1C408-9FD3-436E-AC8E-D31792467018}</author>
  </authors>
  <commentList>
    <comment ref="G2" authorId="0" shapeId="0" xr:uid="{1D68CC64-4DCC-404E-A590-A263D42ADF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OSINTの説明自体は概ね正しいが、「オープン・ソーシャル・インフォマティクス」は誤り（正しくは Open Source Intelligence）
CTF文脈としてはややズレ（「データベース構成を知る」などはOSINTというより他カテゴリ寄り）</t>
      </text>
    </comment>
    <comment ref="H2" authorId="1" shapeId="0" xr:uid="{DC3DE196-BE20-4FA8-80F2-317AC55398A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OSINTの基本概念は説明されているが、CTFでよく問われる具体的な対象（画像解析、位置特定、メタデータなど）が不足
問いに対してやや抽象的で、典型問題の幅が足りない</t>
      </text>
    </comment>
    <comment ref="I2" authorId="2" shapeId="0" xr:uid="{52DECB54-A34E-4328-8D9A-018039B7CEC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ツール名（Google検索、WHOIS、ExifToolなど）や具体的手順がない
「調べる」「分析する」に留まり、実際の行動レベルの説明が不足</t>
      </text>
    </comment>
    <comment ref="J2" authorId="3" shapeId="0" xr:uid="{181A8B0F-6D88-44AD-9590-ACCDE1B8C59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平易ではあるが、内容が抽象的で「何をすればいいか」が分かりにくい
具体例が弱く、初心者がイメージしにくい</t>
      </text>
    </comment>
    <comment ref="K2" authorId="4" shapeId="0" xr:uid="{EABD9367-EE16-40B3-886E-497C6177D0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プライバシーや情報の信頼性への言及があり適切</t>
      </text>
    </comment>
    <comment ref="L2" authorId="5" shapeId="0" xr:uid="{26FCEE8A-AD96-4265-99C8-7F4A747D90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教えすぎではないが、逆にヒントとしても弱い（実践的な導きが不足）</t>
      </text>
    </comment>
    <comment ref="G3" authorId="6" shapeId="0" xr:uid="{98235AD7-A569-4E6E-9797-B260C44923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EXIF解析・リバース画像検索・OCRなど基本的なOSINT手法は正しい
ただし「画像の分析」「比較」などがやや曖昧で、OSINT文脈としては粒度が粗い
初動として重要な「目視観察（看板・言語・影・天候）」などが欠けている</t>
      </text>
    </comment>
    <comment ref="H3" authorId="7" shapeId="0" xr:uid="{F6204486-2C47-4F6F-994C-B707406535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5ステップにはなっているが、内容が重複気味（分析が2回出てくる）
OSINT初動として重要な以下が不足：
地理的手がかりの抽出
時系列推定（影・季節）
SNS・文脈調査
→「形式は満たすが中身が不足」</t>
      </text>
    </comment>
    <comment ref="I3" authorId="8" shapeId="0" xr:uid="{761837CB-7C7A-43D6-AB29-9FABDDAAA8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exiftool, tesseract-ocr, OpenCV など具体ツールが提示されている点は良い
ただし「どう使うか」の手順が弱い（コマンド例などがない）</t>
      </text>
    </comment>
    <comment ref="J3" authorId="9" shapeId="0" xr:uid="{98BF9756-5004-4C2E-BAB4-1587A0A7D2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ツール名は出ているが説明が不十分
OCRの説明が崩れている（“オプティカル・チャラcter・レコGNITION”）
初心者には「何を見ればいいか」が分かりにくい</t>
      </text>
    </comment>
    <comment ref="K3" authorId="10" shapeId="0" xr:uid="{8EE7A7E8-AC0A-4225-9E2B-50085A1529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特に危険な内容はない
ただし「OSINTの適切な利用」やプライバシー配慮の言及なし</t>
      </text>
    </comment>
    <comment ref="L3" authorId="11" shapeId="0" xr:uid="{F30E42C9-7A7E-461F-89E6-52E94478D16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過度に踏み込みすぎず、CTF用途としては適度
ただしヒントとしては少し抽象的すぎる側面あり</t>
      </text>
    </comment>
    <comment ref="G4" authorId="12" shapeId="0" xr:uid="{ED6B4B59-7BDA-4261-9A74-21E89336039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ExifToolやImageMagickの言及は一部正しい（メタ情報確認は可能）
しかし以下が問題：
「画像ファイルのハッキング」という表現は不適切かつ曖昧
「Light Field Photographyでデータ回収」は文脈的に不正確
「EXIF削除でもメタ情報を調べる」はやや誤解を招く（残っていない場合も多い）</t>
      </text>
    </comment>
    <comment ref="H4" authorId="13" shapeId="0" xr:uid="{F874FB31-9C96-408B-8534-1E8BA803C7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本来この問いで期待される代表例：
逆画像検索
画像内容の目視分析（看板・地形など）
ファイル構造/ステガノグラフィ解析
提示内容は：
ツール系に偏り
OSINT的な基本手法（逆画像検索など）が欠落</t>
      </text>
    </comment>
    <comment ref="I4" authorId="14" shapeId="0" xr:uid="{48151517-F285-4B34-AE1A-40CE992B56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ツール名は出ているが、
どう使うか（コマンド例など）がない
調査の流れが不明確
「オプティカルフォレンス」など抽象的</t>
      </text>
    </comment>
    <comment ref="J4" authorId="15" shapeId="0" xr:uid="{70B8A51C-0D20-4D1A-B33E-19C6DFFD7F7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「ハッキング」「オプティカルフォレンス」など
→ 初心者には分かりにくい・誤解を招く
用語説明が不足</t>
      </text>
    </comment>
    <comment ref="K4" authorId="16" shapeId="0" xr:uid="{1C016E10-C59F-4EB2-AC7C-DDA8888E40B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「ハッキング」という表現は不適切
ただし危険な手順までは踏み込んでいない</t>
      </text>
    </comment>
    <comment ref="L4" authorId="17" shapeId="0" xr:uid="{578DA281-B6C1-41D5-9983-9F28992D73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直接的な「答え」ではなく方向性提示に留まっている
CTF文脈としては適切なヒントレベル</t>
      </text>
    </comment>
    <comment ref="G5" authorId="18" shapeId="0" xr:uid="{7EB1270A-C69D-45A3-8A54-8C7F254509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質問は「usernameからのOSINT検索クエリ例」なのに対し、
回答はIDORや認証バイパスのようなWeb攻撃手法になっている
完全に文脈（OSINT）から逸脱している</t>
      </text>
    </comment>
    <comment ref="H5" authorId="19" shapeId="0" xr:uid="{47F88939-7236-4B25-AA13-E078348037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「検索クエリ例」が1つも出ていない
本来期待される内容：
username site:twitter.com
"username" email
など
要求（検索クエリ5つ）を全く満たしていない</t>
      </text>
    </comment>
    <comment ref="I5" authorId="20" shapeId="0" xr:uid="{6DFA5203-E84C-4F10-B2A2-AD0E4E981E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一応「パラメータ例」はあるが、
求められている「検索クエリ」ではない</t>
      </text>
    </comment>
    <comment ref="J5" authorId="21" shapeId="0" xr:uid="{ACEA0D26-448A-4834-BED1-DDDF093D444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初心者は確実に混乱する
OSINTの質問に対して攻撃手法を提示しているため危険</t>
      </text>
    </comment>
    <comment ref="K5" authorId="22" shapeId="0" xr:uid="{6FBD0B56-C1E9-4619-8F07-D660A506894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認証回避・ID操作などの不正アクセスに直結する内容
注意書きはあるが不十分</t>
      </text>
    </comment>
    <comment ref="L5" authorId="23" shapeId="0" xr:uid="{26ACB65A-CD4B-4A5B-97ED-EED27ABA015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そもそも質問に対する適切な情報を出していない
ヒントどころか別ジャンルの危険な内容</t>
      </text>
    </comment>
    <comment ref="G6" authorId="24" shapeId="0" xr:uid="{2B53837B-7032-4E0D-8CB2-5564F042E5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「OSINT＝オープン・ソーシャル・インフォマティクス」は誤りで、正しくはOpen Source Intelligence。
ただし、チェックポイント自体（出典・時期・信頼性など）は概ね妥当。</t>
      </text>
    </comment>
    <comment ref="H6" authorId="25" shapeId="0" xr:uid="{3C9DBCE2-469F-42AD-85FC-B5ADE06BA23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基本的な観点は押さえているが、OSINTで重要な以下が抜けている：
クロスチェック（複数ソース比較）
一次情報 vs 二次情報の区別
改ざん・フェイク検出（画像・動画）
発信者の意図やバイアス分析</t>
      </text>
    </comment>
    <comment ref="I6" authorId="26" shapeId="0" xr:uid="{46BC91B8-DE47-457E-85A1-4ADCDA69504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「検証ツールを使う」とあるが具体例がない
例えば以下があると良い：
site:検索やGoogle検索演算子
画像の逆検索（Google Images / TinEye）
whois や nslookup
Wayback Machineで過去比較</t>
      </text>
    </comment>
    <comment ref="J6" authorId="27" shapeId="0" xr:uid="{E40C3E9F-B23C-41CC-B8F6-608EEF1F1B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箇条書きで分かりやすく、難しい用語も少ない
初心者には理解しやすい構成</t>
      </text>
    </comment>
    <comment ref="K6" authorId="28" shapeId="0" xr:uid="{E0458F03-30F3-413E-8B64-442D1254EA2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攻撃的・不正な内容は含まれていない
検証という健全な用途に限定されている</t>
      </text>
    </comment>
    <comment ref="L6" authorId="29" shapeId="0" xr:uid="{1D3DB137-B96A-4C45-8812-6D501E06895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ヒントレベルで適切
過度に詳細すぎず、CTFとしても良いバランス</t>
      </text>
    </comment>
    <comment ref="G7" authorId="30" shapeId="0" xr:uid="{6A02761B-91E9-4057-AB58-CA8F91A89B3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「暗号化＝データを読み取れるようにする」
→ 完全に逆
正しくは「第三者に読めなくする」
Base64を暗号化として扱っている
→ エンコードであり暗号ではない</t>
      </text>
    </comment>
    <comment ref="H7" authorId="31" shapeId="0" xr:uid="{4822F4EC-0ABE-4EB1-A843-D6969D0914E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本来あるべき内容：
暗号化 → 復号（鍵あり）
ハッシュ → クラック（辞書攻撃 / レインボーテーブル）
判別方法（長さ・形式・アルゴリズム）</t>
      </text>
    </comment>
    <comment ref="I7" authorId="32" shapeId="0" xr:uid="{42A47CF3-8B72-4846-9675-719687E275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ツール例なし
CyberChef
hashcat
手順なし
「どう解くか」が曖昧</t>
      </text>
    </comment>
    <comment ref="G8" authorId="33" shapeId="0" xr:uid="{FD550640-A6C4-49C6-A0A9-21F46537DF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Caesar暗号の説明に誤りあり
「AがBに置き換わる」→シフト3なら本来「A→D」
復号説明も不正確
「A→Cにすることで復元」など意味が崩れている
Vigenereの説明は概ね方向性は合っているが、説明が曖昧</t>
      </text>
    </comment>
    <comment ref="H8" authorId="34" shapeId="0" xr:uid="{603B9597-CE74-4D6E-B138-02BD5C0DBC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「解読の観点」という問いに対して重要な以下が不足
Caesar：総当たり（26通り）
Caesar：頻度分析
Vigenere：カシスキーテスト
Vigenere：インデックス・オブ・コインシデンス（IC）
「難しさの違い」も浅い</t>
      </text>
    </comment>
    <comment ref="I8" authorId="35" shapeId="0" xr:uid="{92204DAB-E257-44DE-B5B4-34C0E304797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手法・ツール・手順が一切出ていない
「どうやって解くか」が書かれていない</t>
      </text>
    </comment>
    <comment ref="J8" authorId="36" shapeId="0" xr:uid="{665485B8-6848-449C-A2B7-432416683B7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文章自体は簡単だが
誤った例が混乱を招く
解読の流れが見えない</t>
      </text>
    </comment>
    <comment ref="K8" authorId="37" shapeId="0" xr:uid="{7E81E65D-66FA-4FEA-A808-81D773378A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問題なし（教育的内容）</t>
      </text>
    </comment>
    <comment ref="L8" authorId="38" shapeId="0" xr:uid="{45403371-81CD-419D-9AEC-AEE0982D4BF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逆に情報が少なすぎてヒント不足
CTFとしては「解き方の方向性」が欲しい</t>
      </text>
    </comment>
    <comment ref="G9" authorId="39" shapeId="0" xr:uid="{AC636D4D-26F4-42B4-954D-B776CC73EC2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「Base64は暗号ではない」という点は正しい
ただし
「パラメータを使って暗号化する」などの記述は誤解を招く（Base64自体に暗号化機能はない）
Base64単体で暗号化するかのような説明が一部含まれている
👉 一部不正確・ミスリードあり</t>
      </text>
    </comment>
    <comment ref="H9" authorId="40" shapeId="0" xr:uid="{A24ED666-A1C0-48E4-8EE8-C9600AB72C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基本説明はあるが不足あり
「可逆（誰でもデコードできる）」の明示がない
「なぜCTFでよく出るか」の説明がない
「暗号との違い（鍵の有無）」が弱い</t>
      </text>
    </comment>
    <comment ref="I9" authorId="41" shapeId="0" xr:uid="{F8B133B0-4EAB-472D-BC37-52D4886E68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具体例がない
例：SGVsbG8= → Hello など
コマンド例（base64 / CyberChef）なし</t>
      </text>
    </comment>
    <comment ref="J9" authorId="42" shapeId="0" xr:uid="{5F4E06FC-C0B5-4535-B8AC-5A52F7C7B47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全体的に読めるが
「パラメータ」など不要に抽象的
誤解を強める説明あり</t>
      </text>
    </comment>
    <comment ref="G10" authorId="43" shapeId="0" xr:uid="{35C1616B-B05A-4D86-BC68-61A74B1FC9D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「公開鍵に p と q が含まれる」は 誤り
→ 公開鍵は (n, e) のみで、p・qは秘密にする必要あり
「e は p-1 と q-1 の両方で割り切れる」も 誤り
→ 正しくは φ(n) と互いに素（gcd(e, φ(n)) = 1）
「RSAは計算機上で解法は可能ではない」は 言い過ぎ（誤解を招く）
→ 正しくは「現実的な時間では困難」</t>
      </text>
    </comment>
    <comment ref="J10" authorId="44" shapeId="0" xr:uid="{E39B0E98-48CA-40A0-A39A-517D031D16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「mod」「逆数」などの説明がなく、数学苦手向けとしてはやや不親切
「e が割り切れる」など誤った説明で混乱の可能性あり</t>
      </text>
    </comment>
    <comment ref="G11" authorId="45" shapeId="0" xr:uid="{520F547E-43A2-41F5-ABE0-57AE4AD8D1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「鍵長が短い → 総当たりで解ける」は正しい
ただし問題点あり：
Dictionary Attack / Rainbow Tableは「鍵長」と直接関係が薄い（主にパスワード・ハッシュの話）
「鍵長が短い＝計算量が小さい」という本質（2^nの探索空間）が説明されていない</t>
      </text>
    </comment>
    <comment ref="H11" authorId="46" shapeId="0" xr:uid="{E0370E33-1BA6-41FA-945F-CB4323B0B4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「総当たり攻撃」は触れているが、それだけに近い
本来あると良い要素：
鍵長と計算量の関係（例：2^56 vs 2^128）
実際の例（DESが破られた理由など）
共通鍵 / 公開鍵での違い</t>
      </text>
    </comment>
    <comment ref="I11" authorId="47" shapeId="0" xr:uid="{F58D676F-B80B-4F9E-BDFF-5D102C68FF8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手法の名前はあるが具体例が弱い
例えば：
「56bitなら約7×10^16通り」
「DESは専用機で数日で破られた」
などがあると良い</t>
      </text>
    </comment>
    <comment ref="J11" authorId="48" shapeId="0" xr:uid="{62486016-0328-42CC-8DE2-E4E273D5C9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用語の説明は最低限あるが、
「なぜ短いと危険か（試行回数の爆発）」が直感的でない
「鍵長＝桁数」などの噛み砕きが欲しい</t>
      </text>
    </comment>
    <comment ref="L11" authorId="49" shapeId="0" xr:uid="{F1AC1A95-008B-4C05-8023-B80A8846887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やや「一般論すぎてヒントとして弱い」
CTF的には：
「短い＝総当たりを疑う」
「ビット数を見る」
などの方向性が欲しい</t>
      </text>
    </comment>
    <comment ref="G12" authorId="50" shapeId="0" xr:uid="{15581633-A299-47A8-BA60-A4774FF4F71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メモリダンプの目的について大枠は正しい（原因調査・セキュリティ調査など）
ただし CTF/forensics文脈として重要な観点（「揮発性情報の取得」）が抜けている
また「メモリダンプ＝システム停止時」という説明は不正確（ライブ取得もある）</t>
      </text>
    </comment>
    <comment ref="H12" authorId="51" shapeId="0" xr:uid="{264B1199-1901-474C-8C0D-6DB97C47AC6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プロセスやデータなどは挙げているが、重要な項目が不足
不足している代表例：
ネットワーク接続情報
コマンド履歴
復号前データ（平文）
DLL / モジュール
レジストリ情報
認証情報（資格情報）</t>
      </text>
    </comment>
    <comment ref="I12" authorId="52" shapeId="0" xr:uid="{FBFD39D7-2AAA-48FC-8584-F32A1FFA158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抽象的説明が多い
具体的な解析例がない
不足点：
コマンド例（例：volatility pslist）
どのツールで何を取るか
CTFでどう使うか</t>
      </text>
    </comment>
    <comment ref="L12" authorId="53" shapeId="0" xr:uid="{BCDD4C9C-B044-4AD5-A438-173F2D5F630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抽象的すぎてヒント不足気味
CTF用途としてはもう少し具体性が必要</t>
      </text>
    </comment>
    <comment ref="G13" authorId="54" shapeId="0" xr:uid="{C706633B-A227-4D99-AB8D-50784F7174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「ファイルシステムの種類」は適切で重要
しかし「ディスクサイズ」「コンテンツ」はやや抽象的で、フォレンジック初動として重要な観点（ハッシュ値・パーティション構造など）が抜けている
一部説明も重複しており厳密性に欠ける</t>
      </text>
    </comment>
    <comment ref="H13" authorId="55" shapeId="0" xr:uid="{76C3498C-3814-46B0-961D-67269EF5F13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問いは「最初に確認すべき3項目」だが、
→ 本来よく挙がる以下が欠落：
ハッシュ値（完全性確認）
パーティション構造
「コンテンツ」は広すぎて、初動チェックとしては不適切</t>
      </text>
    </comment>
    <comment ref="I13" authorId="56" shapeId="0" xr:uid="{F5060411-EAF9-4079-ABCB-52FF9301E09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ツールや具体例がない（例：fdisk, mmls, sha256sumなど）
実際の解析手順がイメージできない
「確認すると理解できる」レベルに留まっている</t>
      </text>
    </comment>
    <comment ref="J13" authorId="57" shapeId="0" xr:uid="{A0744676-5331-4532-96C8-7F8AA5AD01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用語説明はあるが、
なぜそれが“最初”なのかの理由が弱い
「コンテンツ確認」は初心者に誤解を与える（いきなり中身を見るわけではない）</t>
      </text>
    </comment>
    <comment ref="L13" authorId="58" shapeId="0" xr:uid="{A6EF39AB-571C-490B-838D-3E9473EB19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抽象的すぎてヒント不足寄り
逆にCTF用途としては「何を見ればいいか」が明確でない</t>
      </text>
    </comment>
    <comment ref="G14" authorId="59" shapeId="0" xr:uid="{26B17829-B992-4A20-9AE6-1D7DF59BF9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StegsolveやExifToolなど基本ツールは正しい
ただし、
「ImageSteganographer」は一般的でない
Photoshop中心はCTF文脈ではややズレ
ステガノ特有の重要手法（LSB解析・strings・binwalk等）が不足</t>
      </text>
    </comment>
    <comment ref="H14" authorId="60" shapeId="0" xr:uid="{667A12BB-D28E-4405-AE4D-7404D3BAF1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手順っぽく書かれているが、
初動（file / strings / binwalk）
フォーマット確認
ステガノ専用ツール（zsteg / steghide）
が抜けている
無関係な「報告・保存・再現」などで水増しされている
→ 本来必要な工程が不足</t>
      </text>
    </comment>
    <comment ref="I14" authorId="61" shapeId="0" xr:uid="{4AD42E83-692D-414A-9621-F5731DD1F0A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コマンド例が一切ない
「分析する」「確認する」など抽象的
実際に手を動かす手順になっていない
→ CTF用途としてはかなり弱い</t>
      </text>
    </comment>
    <comment ref="J14" authorId="62" shapeId="0" xr:uid="{E97B0CDF-4EE2-48C5-AFF8-62AF72F2630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一応流れはあるが、
何をどう操作するか不明
ツールの使い方説明なし
→ 初心者は再現できない</t>
      </text>
    </comment>
    <comment ref="L14" authorId="63" shapeId="0" xr:uid="{A9507290-7981-48FF-99F7-5C375D1C5B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逆に「教えなさすぎ」
ヒントにも手順にもなりきれていない</t>
      </text>
    </comment>
    <comment ref="G15" authorId="64" shapeId="0" xr:uid="{A675364B-977F-4F82-931D-390805D961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「タイムスタンプの重要性」など基本は正しい
しかし重要な観点（タイムゾーン差・ログ間の時刻ズレ・改ざん検知など）が欠落
「LOGファイルのみを使うべき」という記述は誤解を招く（実際は複数ソースを統合する）</t>
      </text>
    </comment>
    <comment ref="H15" authorId="65" shapeId="0" xr:uid="{9F4CB706-EAAE-42EB-A8BD-EB00C7DD393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本来必要な主要ポイント：
タイムゾーン・UTC変換
時刻同期（NTPズレ）
複数ログの突合
欠損・改ざんの考慮
フォーマット統一
→ これらがほぼ触れられていない</t>
      </text>
    </comment>
    <comment ref="I15" authorId="66" shapeId="0" xr:uid="{729FF969-315B-469D-AB98-A8CFD6A56F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grep / awk / sort の例はあるのは良い
ただし、
実際のログ解析用途としては浅い
timestamp検索など抽象的すぎる</t>
      </text>
    </comment>
    <comment ref="J15" authorId="67" shapeId="0" xr:uid="{BA78B5D8-3245-4DC7-88AB-DDA2E1967B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シンプルな説明で読みやすい
ただし
「整合性」などの用語説明なし
なぜ重要かの具体例が弱い</t>
      </text>
    </comment>
    <comment ref="L15" authorId="68" shapeId="0" xr:uid="{E38F4823-6DA5-4976-A3F8-4FD6E8EB7DA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ヒントとしてはやや弱すぎる
実践に使える深さが不足</t>
      </text>
    </comment>
    <comment ref="G16" authorId="69" shapeId="0" xr:uid="{09C83216-E886-48ED-9372-28E3BD12654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「異常なデータ構造」「ファイルサイズの変化」などは一部正しい観点
しかし、フォレンジックで重要な「真正性の担保（ハッシュ値・ログの整合性・タイムスタンプ相関）」が欠落
「データが不自然に並んでいる場合、証拠は信頼できません」などは誤り（むしろ改ざんの兆候）</t>
      </text>
    </comment>
    <comment ref="H16" authorId="70" shapeId="0" xr:uid="{09EAEF8A-E026-4D37-9115-634C660DA77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本来必要な観点：
ハッシュ値比較（改ざん検知の基本）
タイムスタンプの矛盾（MAC timesなど）
ログ間の相関
メタデータの不整合
取得過程（チェーン・オブ・カストディ）
→ これらがほぼ欠けている</t>
      </text>
    </comment>
    <comment ref="I16" authorId="71" shapeId="0" xr:uid="{A8B19D74-E5F4-4FC0-A08A-CA0C792437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ツール名・コマンド・具体例がない
「データ分析ツール」など抽象的すぎる
例として欲しい内容：
sha256sum でのハッシュ比較
log2timeline や plaso
stat や exiftool での時刻確認</t>
      </text>
    </comment>
    <comment ref="J16" authorId="72" shapeId="0" xr:uid="{16FBBFFE-FDB1-48AD-976F-D43CBA0F41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箇条書きで読みやすい点は良い
ただし「何をどう見ればいいか」が分からない</t>
      </text>
    </comment>
    <comment ref="L16" authorId="73" shapeId="0" xr:uid="{F8709D55-2420-4711-B7C3-A78871E0448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抽象的すぎてヒント不足
実践に使えるレベルではない</t>
      </text>
    </comment>
    <comment ref="G17" authorId="74" shapeId="0" xr:uid="{5B6B0A2C-7DCF-4A83-AA0F-03945F4020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robots.txtやソース確認はCTF Webで実際に有効な手法
しかし
「robots.txtがサーバー設定に影響する」は誤り（単なるクローラ指示）
また「脆弱性チェック」というより“情報収集寄り”に偏っている</t>
      </text>
    </comment>
    <comment ref="H17" authorId="75" shapeId="0" xr:uid="{0FE285F3-E4F8-42CC-B1D1-63C64B913F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本来優先度順で挙げるべき代表例：
入力値系（XSS / SQLi）
認証・認可
パラメータ改ざん
ディレクトリ探索
しかし回答は
robots.txt
コメント
開発者ツール
などに限定されている</t>
      </text>
    </comment>
    <comment ref="I17" authorId="76" shapeId="0" xr:uid="{4EF4A3EE-2825-4E78-86DF-6D83D250B15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操作（Ctrl+Uなど）は書かれているが
CTF的に重要な
?id=1 → 2 の変更
Burp Suite
curl
などの具体的攻撃・検証手順がない</t>
      </text>
    </comment>
    <comment ref="L17" authorId="77" shapeId="0" xr:uid="{65B5056A-5F5D-425D-A33B-9A32E301CE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ヒントとしてはやや浅すぎる
実戦に進むための導線が弱い</t>
      </text>
    </comment>
    <comment ref="J18" authorId="78" shapeId="0" xr:uid="{1BD2F001-C867-4FD4-8869-776F596A52C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概念説明はシンプルで良い
ただし以下が少し不親切：
「なぜ OR 1=1 で突破できるのか」の説明が弱い
Prepared Statements の仕組みがやや抽象的
→ 初心者には「なぜ起きるか」の補足が欲しい</t>
      </text>
    </comment>
    <comment ref="I19" authorId="79" shapeId="0" xr:uid="{315A8B75-2FD3-4C1A-8946-B924D8287B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概念説明のみで、以下が不足：
典型的な攻撃フロー
実例（例：&lt;script&gt;alert(1)&lt;/script&gt;）
「どこで発生するか」の明確な比較表
手順・具体例がないため1点</t>
      </text>
    </comment>
    <comment ref="J19" authorId="80" shapeId="0" xr:uid="{B2269C04-B9FE-43C3-BD31-226E337CD6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用語（User Agent、DOM Treeなど）の説明がない
英語混じりでやや読みづらい
もう少し噛み砕いた説明が欲しい</t>
      </text>
    </comment>
    <comment ref="G20" authorId="81" shapeId="0" xr:uid="{3704F560-9A7C-4367-9D9E-35C9533B222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SSRFの基本説明は概ね正しい
ただし「成立条件」がやや曖昧で、CTFや実務で重要な
外部入力がURLとして使われること
サーバーがそのURLへリクエストを実行すること
が明確に言語化されていない
「リソースの公開」は成立条件としては不適切（内部向けでも成立する）</t>
      </text>
    </comment>
    <comment ref="H20" authorId="82" shapeId="0" xr:uid="{EC04AF73-1B66-4BD0-B98C-D6009595D42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防御策はいくつか挙げているが、重要なものが抜けている：
allowlist（許可リスト）
メタデータサービス（169.254.169.254）対策
DNSリバインディング対策
プロトコル制限（file://, gopher://など）
成立条件も3つだけで不十分</t>
      </text>
    </comment>
    <comment ref="I20" authorId="83" shapeId="0" xr:uid="{D698A3F4-38BF-42A6-8665-E007721D4A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抽象的すぎる
例えば以下が無い：
実際の危険なコード例（例：fetch(user_input)）
攻撃例（http://169.254.169.254/...）
防御の具体実装（URLパース、IPチェックなど）</t>
      </text>
    </comment>
    <comment ref="J20" authorId="84" shapeId="0" xr:uid="{A75C44B8-0AF5-4D75-93F1-DED179DE1C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説明はシンプルで読みやすい
ただし
「内部リソース」の具体例がない
なぜ危険か（クラウドメタデータ等）が説明不足</t>
      </text>
    </comment>
    <comment ref="G21" authorId="85" shapeId="0" xr:uid="{C3BA5C48-2D11-4C41-84F0-6B09B97461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「ソースを見る＝開発者コードを分析できる」という説明はややズレています
→ CTFではサーバーサイドコードは見えないのが基本
XSS・SQLiの説明も一般論で、“ソースを見る理由”としては不適切</t>
      </text>
    </comment>
    <comment ref="H21" authorId="86" shapeId="0" xr:uid="{657263EA-7AB3-4E3D-A5BA-BB22EB2FA15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「なぜ有効か」という核心（CTF特有の理由）が弱い
具体的に見るべきものが不足
コメント
hiddenフィールド
JS処理
APIエンドポイント など</t>
      </text>
    </comment>
    <comment ref="I21" authorId="87" shapeId="0" xr:uid="{F06B005B-122B-4AEB-A14B-B706017186A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具体例が不適切 or 抽象的
XSS / SQLiは「ソースを見る理由」ではない
実際のCTFっぽい例がない</t>
      </text>
    </comment>
    <comment ref="J21" authorId="88" shapeId="0" xr:uid="{91165F7B-4E63-4744-91C1-5A8D6A126A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説明は読みやすいが、内容がズレているため理解しづらい
「何を見ればいいか」が分からない</t>
      </text>
    </comment>
    <comment ref="L21" authorId="89" shapeId="0" xr:uid="{CE88A3DC-30A6-4428-BCCB-2CF5EC5D8C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ヒントとしては弱く、逆に方向を誤らせる可能性あり
CTFとしては「ズレた誘導」</t>
      </text>
    </comment>
    <comment ref="G22" authorId="90" shapeId="0" xr:uid="{3636C285-2588-41C1-AA35-5C29CEDC17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暗号とフォレンジックの大まかな違いは合っています。
ただし「フォレンジック方法が明らか」という表現はやや曖昧で、CTF的な判断基準（ファイル解析・メタデータ・バイナリなど）が弱いです。
「両方適用するケース」は正しいが、もう少し具体的な状況説明が欲しい。</t>
      </text>
    </comment>
    <comment ref="H22" authorId="91" shapeId="0" xr:uid="{FFE9716D-536A-4414-92A4-9C1569E33D4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暗号とフォレンジックの特徴は挙げているが、
実際の“判断材料”（文字列の見た目、ファイル形式、配布物など）
初動で何を見るべきか
が不足しています。
「迷ったときの具体的なチェック手順」が足りない。</t>
      </text>
    </comment>
    <comment ref="I22" authorId="92" shapeId="0" xr:uid="{109B7223-7E5D-4F04-98DC-9386C4A97D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ツール・コマンド・判断フローがほぼない
例えば以下が無い：
file, strings, binwalk
Base64判定（文字種）
エントロピー的な考え方
→ CTF解法としてはかなり抽象的</t>
      </text>
    </comment>
    <comment ref="J22" authorId="93" shapeId="0" xr:uid="{34C6BC4B-95E5-4178-981C-FD92CBD9D0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シンプルで読みやすいが、逆に判断の軸が弱く「どうすればいいか」が分かりにくい
初心者はこれだけだと迷い続ける</t>
      </text>
    </comment>
    <comment ref="L22" authorId="94" shapeId="0" xr:uid="{A9EB4A21-B283-4BEF-BD81-1EC02A99BC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抽象的すぎて「ヒント不足寄り」
もう少し実践的な判断基準は出してよい</t>
      </text>
    </comment>
    <comment ref="H23" authorId="95" shapeId="0" xr:uid="{705B0D84-C3BC-42B3-98E3-855F2E59B7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一応ステップは多いが、
「観測→仮説分岐→検証→ログ取得→再現性確認」などCTF特有の流れが抜けている
仮説の“立て方（どこを見るか）”が弱い
→ 抽象的で、実戦的な観点が不足</t>
      </text>
    </comment>
    <comment ref="I23" authorId="96" shapeId="0" xr:uid="{C68F3F57-B9D8-4168-88FB-8E80D84E77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ほぼ抽象論のみで、
コマンド例（strings, binwalk, curl など）
「こういう時はこう試す」という具体例
が一切ない
→ CTF用途としてはかなり弱い</t>
      </text>
    </comment>
    <comment ref="J23" authorId="97" shapeId="0" xr:uid="{E5F8756B-4FFD-44A6-AD1E-DB5C690127A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流れ自体はシンプルで理解はできるが、
「仮説とは何か」「どう立てるか」の補足なし
同じ内容の繰り返しが多く、逆に分かりづらい</t>
      </text>
    </comment>
    <comment ref="G24" authorId="98" shapeId="0" xr:uid="{96C9A084-9805-463C-8608-BCFF8BB4E8E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「パラメータの不正解」「パッケージの不正解」など、CTF特有の落とし穴として不適切・曖昧な内容が多い
/etc/passwd の例も文脈的に不自然（初心者のミスというより攻撃例）
SQL Injectionも「落とし穴」ではなく「脆弱性の説明」に寄っている</t>
      </text>
    </comment>
    <comment ref="H24" authorId="99" shapeId="0" xr:uid="{210FEBCC-87BF-4C8A-BD67-EEDB21781C1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一応5個挙げているが、
本来よくある落とし穴（例：ソース未確認、思い込み、問題カテゴリ誤認など）が含まれていない
内容の質が低く、網羅性としては不十分</t>
      </text>
    </comment>
    <comment ref="I24" authorId="100" shapeId="0" xr:uid="{BBC15E22-163F-4DBF-B946-9F89FF99FC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コマンド例（file -i など）はあるが、文脈とズレている
「どういう状況でハマるか」が具体的でない</t>
      </text>
    </comment>
    <comment ref="J24" authorId="101" shapeId="0" xr:uid="{4CC7F989-41F6-4F4C-85E2-8583931050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一見やさしいが、内容がズレているため学習効果が低い
「なぜそれが落とし穴なのか」の説明が弱い</t>
      </text>
    </comment>
    <comment ref="L24" authorId="102" shapeId="0" xr:uid="{83983066-9B32-4388-8F7E-CC9CC72A9FB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ヒントとしても弱く、逆に誤解を招く可能性あり
教えすぎではないが「的外れ」</t>
      </text>
    </comment>
    <comment ref="G25" authorId="103" shapeId="0" xr:uid="{1B0CF4B9-827A-4DD2-8B34-EC369757A92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一般的な問題解決プロセスとしては正しいが、CTF文脈に特化していない
「リソース再活用」など重複・曖昧な表現あり</t>
      </text>
    </comment>
    <comment ref="H25" authorId="104" shapeId="0" xr:uid="{99BEC55D-FD17-4029-9AB6-C9CC4EE001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一通りの行動はあるが、CTFで重要な具体的リカバリ（例：別カテゴリ検討、writeup確認など）が不足
「何をどう変えるか」が弱い</t>
      </text>
    </comment>
    <comment ref="I25" authorId="105" shapeId="0" xr:uid="{1E23645D-E641-476F-ADC1-1FEE798316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実行可能とは言い難い（抽象的）
例：
×「ツールを試す」
○「strings / binwalk / burp / cyberchef を試す」などが必要
コマンド・手順・判断基準がない</t>
      </text>
    </comment>
    <comment ref="J25" authorId="106" shapeId="0" xr:uid="{148F74C4-7800-4EF5-A187-AB37ADE6213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シンプルではあるが、
「次に何をすればいいか」が分からない → 初心者には不十分</t>
      </text>
    </comment>
    <comment ref="G26" authorId="107" shapeId="0" xr:uid="{9862D426-2887-42EB-ABC6-36029C170F2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CTF学習メニューとしての方向性は大きく間違っていませんが、
「SPL」などCTF文脈で不自然な用語が混在
「フラグ作成と送信」など実態とズレた表現
があり、やや不正確です。</t>
      </text>
    </comment>
    <comment ref="H26" authorId="108" shapeId="0" xr:uid="{3AD68584-6A8B-4424-A289-7C8C418555A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「1週間」と言われているのに、
19日分まで存在する
重複・冗長な日程
で、要件を満たしていません。</t>
      </text>
    </comment>
    <comment ref="I26" authorId="109" shapeId="0" xr:uid="{F354AF5E-7FD2-412D-AEEC-440DFE2CD4B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[参考資料1] など具体性ゼロ
ツール・サイト・手順がない
→ 実行不能レベル</t>
      </text>
    </comment>
    <comment ref="J26" authorId="110" shapeId="0" xr:uid="{D6FE9F67-3C9B-41D9-91D0-B89CDD19D7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学習順序が不自然（いきなり抽象的）
何をすればいいか不明
→ 初心者は動けない</t>
      </text>
    </comment>
    <comment ref="L26" authorId="111" shapeId="0" xr:uid="{5FC1C408-9FD3-436E-AC8E-D317924670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教えすぎではないが、逆にヒント不足
「適切な難易度のガイド」になっていない</t>
      </text>
    </comment>
  </commentList>
</comments>
</file>

<file path=xl/sharedStrings.xml><?xml version="1.0" encoding="utf-8"?>
<sst xmlns="http://schemas.openxmlformats.org/spreadsheetml/2006/main" count="873" uniqueCount="112">
  <si>
    <t>チャンク数</t>
    <rPh sb="4" eb="5">
      <t>スウ</t>
    </rPh>
    <phoneticPr fontId="1"/>
  </si>
  <si>
    <t>オーバーラップ</t>
    <phoneticPr fontId="1"/>
  </si>
  <si>
    <t>質問番号</t>
    <rPh sb="0" eb="4">
      <t>シツモンバンゴウ</t>
    </rPh>
    <phoneticPr fontId="1"/>
  </si>
  <si>
    <t>質問文</t>
    <rPh sb="0" eb="3">
      <t>シツモンブン</t>
    </rPh>
    <phoneticPr fontId="1"/>
  </si>
  <si>
    <t>正確性</t>
    <rPh sb="0" eb="3">
      <t>セイカクセイ</t>
    </rPh>
    <phoneticPr fontId="1"/>
  </si>
  <si>
    <t>網羅性</t>
    <rPh sb="0" eb="2">
      <t>モウラ</t>
    </rPh>
    <rPh sb="2" eb="3">
      <t>セイ</t>
    </rPh>
    <phoneticPr fontId="1"/>
  </si>
  <si>
    <t>具体性</t>
    <rPh sb="0" eb="3">
      <t>グタイセイ</t>
    </rPh>
    <phoneticPr fontId="1"/>
  </si>
  <si>
    <t>初心者適合</t>
    <rPh sb="0" eb="3">
      <t>ショシンシャ</t>
    </rPh>
    <rPh sb="3" eb="5">
      <t>テキゴウ</t>
    </rPh>
    <phoneticPr fontId="1"/>
  </si>
  <si>
    <t>安全性・倫理</t>
    <rPh sb="0" eb="3">
      <t>アンゼンセイ</t>
    </rPh>
    <rPh sb="4" eb="6">
      <t>リンリ</t>
    </rPh>
    <phoneticPr fontId="1"/>
  </si>
  <si>
    <t>小計</t>
    <rPh sb="0" eb="2">
      <t>ショウケイ</t>
    </rPh>
    <phoneticPr fontId="1"/>
  </si>
  <si>
    <t>平均</t>
    <rPh sb="0" eb="2">
      <t>ヘイキン</t>
    </rPh>
    <phoneticPr fontId="1"/>
  </si>
  <si>
    <t>CTFのOSINTカテゴリは何を問う問題ですか？初心者向けに説明してください。</t>
  </si>
  <si>
    <t>画像1枚から調査を始めるとき、OSINTの初動手順を5ステップで示してください。</t>
  </si>
  <si>
    <t>EXIF情報が削除されている画像でも有効な調査方法を3つ挙げてください。</t>
  </si>
  <si>
    <t>usernameしかないとき、調査範囲を広げるための具体的な検索クエリ例を5つください。</t>
  </si>
  <si>
    <t>OSINTで得た情報の真偽を検証するためのチェックポイントを説明してください。</t>
  </si>
  <si>
    <t>暗号化とハッシュ化の違いを、CTFでの使い分け例つきで説明してください。</t>
  </si>
  <si>
    <t>Caesar暗号とVigenere暗号の違いを、解読の観点で比較してください。</t>
  </si>
  <si>
    <t>Base64は暗号ですか？誤解されやすい理由も含めて説明してください。</t>
    <phoneticPr fontId="1"/>
  </si>
  <si>
    <t>RSAの公開鍵・秘密鍵の役割を、数学が苦手な人向けに説明してください。</t>
  </si>
  <si>
    <t>暗号問題で「鍵長が短い」と何が起きるか、攻撃手法とあわせて説明してください。</t>
  </si>
  <si>
    <t>forensicsでメモリダンプを解析する目的は何ですか？代表的に抽出したい情報を挙げてください。</t>
  </si>
  <si>
    <t>ディスクイメージ解析で、最初に確認すべき3項目を理由つきで説明してください。</t>
  </si>
  <si>
    <t>ステガノグラフィ疑いのある画像を調べる手順を、使用ツール例込みで示してください。</t>
  </si>
  <si>
    <t>ログフォレンジックでタイムラインを作るときの注意点を説明してください。</t>
  </si>
  <si>
    <t>「改ざんの可能性」を主張する際に必要な証拠の考え方を説明してください。</t>
  </si>
  <si>
    <t>Webカテゴリで最初に試すべき脆弱性チェック項目を優先度順に挙げてください。</t>
  </si>
  <si>
    <t>SQL Injectionの基本原理を、危険な例と安全な対策をセットで説明してください。</t>
  </si>
  <si>
    <t>XSS（反射型・保存型・DOM型）の違いを簡潔に比較してください。</t>
  </si>
  <si>
    <t>SSRFが成立する条件と、実運用での防御策を説明してください。</t>
  </si>
  <si>
    <t>CTFのWeb問題で「ソースを見る」が有効な理由を具体例つきで説明してください。</t>
  </si>
  <si>
    <t>「この問題は暗号かフォレンジックか判断がつかない」ときの切り分け方を説明してください。</t>
  </si>
  <si>
    <t>問題文が曖昧なとき、仮説を立てて検証する進め方を手順化してください。</t>
    <phoneticPr fontId="1"/>
  </si>
  <si>
    <t>初心者がハマりやすいCTFの落とし穴を5つ挙げ、回避策も示してください。</t>
  </si>
  <si>
    <t>30分で進捗がない場合のリカバリ手順を、実行可能な形で提案してください。</t>
    <phoneticPr fontId="1"/>
  </si>
  <si>
    <t>CTF学習を継続するための1週間の練習メニューを作ってください。</t>
  </si>
  <si>
    <t>\</t>
    <phoneticPr fontId="1"/>
  </si>
  <si>
    <t>カテゴリー</t>
    <phoneticPr fontId="1"/>
  </si>
  <si>
    <t>OSINT</t>
    <phoneticPr fontId="1"/>
  </si>
  <si>
    <t>Forensics</t>
    <phoneticPr fontId="1"/>
  </si>
  <si>
    <t>Crypto</t>
    <phoneticPr fontId="1"/>
  </si>
  <si>
    <t>Web</t>
    <phoneticPr fontId="1"/>
  </si>
  <si>
    <t>Meta</t>
    <phoneticPr fontId="1"/>
  </si>
  <si>
    <t>回答文</t>
    <rPh sb="0" eb="2">
      <t>カイトウ</t>
    </rPh>
    <rPh sb="2" eb="3">
      <t>ブン</t>
    </rPh>
    <phoneticPr fontId="1"/>
  </si>
  <si>
    <t>情報開示適切性</t>
    <phoneticPr fontId="1"/>
  </si>
  <si>
    <t>コメント</t>
    <phoneticPr fontId="1"/>
  </si>
  <si>
    <t>コメント・改善案</t>
    <rPh sb="5" eb="7">
      <t>カイゼン</t>
    </rPh>
    <rPh sb="7" eb="8">
      <t>アン</t>
    </rPh>
    <phoneticPr fontId="1"/>
  </si>
  <si>
    <t>方向性はあっているが、OSINTらしさが弱く、少しずれた回答。OSINTが何なのか本質がわかりづらい。SNS調査・Google検索（site:, filetype: など）・画像の場所特定といった典型パターンを入れる。実際に使うツール・コマンドを1つでも示す。</t>
    <rPh sb="0" eb="3">
      <t>ホウコウセイ</t>
    </rPh>
    <rPh sb="20" eb="21">
      <t>ヨワ</t>
    </rPh>
    <rPh sb="23" eb="24">
      <t>スコ</t>
    </rPh>
    <rPh sb="28" eb="30">
      <t>カイトウ</t>
    </rPh>
    <rPh sb="37" eb="38">
      <t>ナン</t>
    </rPh>
    <rPh sb="41" eb="43">
      <t>ホンシツ</t>
    </rPh>
    <rPh sb="98" eb="100">
      <t>テンケイ</t>
    </rPh>
    <rPh sb="105" eb="106">
      <t>イ</t>
    </rPh>
    <phoneticPr fontId="1"/>
  </si>
  <si>
    <t>OSINT（オープン・ソーシャル・インフォマティクス）カテゴリの問題 OSINTは、インターネットやデータベースなどから情報を収集する方法です。CTFのOSINTカテゴリでは、問題は通常、インターネット上で公開されている情報に基づいて解決します。 例えば ある企業のウェブサイトが公開している情報を分析して、会社の秘密情報やデータベースの構成について知りたい場合。 ある組織のメールアドレスリストやフォームの入力データを収集して、メルマガやニュースリリースなどに使う情報を得る場合。 初心者向けの例 会社のウェブサイトが公開している「关于我们」ページを見て、会社の CEO の名前や職位について知りたい場合。 ある組織の Twitter アカウントで公開されている情報を分析して、組織の活動やプロジェクトについて知りたい場合。 解決方法 これらの問題では、インターネット上で公開されている情報を分析して、必要な情報を収集することが重要です。 会社のウェブサイトや Twitter アカウントなどを調べることで、情報が公開されているかどうかを確認できます。 また、データベースやフォームなどの入力データを収集することも可能です。 注意 OSINTでは、インターネット上で公開されている情報は、すべて真実であるとは限りません。情報の正確性と信頼性を確認することが重要です。 また、OSINTでは、個人や組織のプライバシーを尊重することが重要です。必要な情報を収集する際に、適切な方法で情報を取得し、使用する必要があります。 CTFのOSINTカテゴリの問題は 会社のウェブサイトや Twitter アカウントなどから公開されている情報を分析して、秘密情報やデータベースの構成について知りたい場合。 ある組織のメールアドレスリストやフォームの入力データを収集して、メルマガやニュースリースなどに使う情報を得る場合。 解決方法 これらの問題では、インターネット上で公開されている情報を分析して、必要な情報を収集することが重要です。 会社のウェブサイトや Twitter アカウントなどを調べることで、情報が公開されているかどうかを確認できます。 また、データベースやフォームなどの入力データを収集することも可能です。 注意 OSINTでは、インターネット上で公開されている情報は、すべて真実であるとは限りません。情報の正確性と信頼性を確認することが重要です。 また、OSINTでは、個人や組織のプライバシーを尊重することが重要です。必要な情報を収集する際に、適切な方法で情報を取得し、使用する必要があります。</t>
  </si>
  <si>
    <t>EXIF情報が削除されている画像でも有効な調査方法EXIF情報は、画像ファイルのプロパティとして保存されるデータです。ただし、EXIF情報を削除する技術も存在します。このため、EXIF情報が削除されている画像でも、重要な情報を回収するための別の方法を探す必要があります。デジタルフォトグラフィー分析ツールデジタルフォトグラフィー分析ツールは、画像ファイル内の潜在的なデータを分析して回収できるツールです。例えば、ExifToolやImageMagickなどのツールを使用すると、EXIF情報が削除されている画像でも、ファイルのプロパティやメタ情報を調べることができます。画像ファイルのハッキング画像ファイルは、文書化されたデータであるため、ハッキング技術を使用して内部に保存されているデータを回収することが可能です。例えば、Stegsolveなどのツールを使用すると、画像ファイル内に隠されたデータを回収できるようになります。オプティカルフォレンスオプティカルフォレンスは、画像ファイル内の潜在的なデータを回収するために使用される技術です。例えば、Light Field Photographyなどの技術を使用すると、画像ファイル内に保存されているデータを回収できるようになります。これらの方法を使用して、EXIF情報が削除されている画像でも重要な情報を回収することが可能です。ただし、各方法の利点と限界を理解する必要があります。</t>
    <phoneticPr fontId="1"/>
  </si>
  <si>
    <t>「逆画像検索」を必ず入れる。「目視分析（看板・言語・影）」を追加。ステガノグラフィ解析を正しく説明。曖昧な用語（ハッキング等）を排除。コマンド例を1つ入れる。</t>
    <phoneticPr fontId="1"/>
  </si>
  <si>
    <t>usernameのみの場合ユーザーIDの変更: userid=2 のように ID を変更してアクセスし直すと、別のユーザーの情報が表示されることがある。同じ ID に異なる値を試してみる。ログインフォームのパラメータ: login=1 と password=2 のようにログインフォームのパラメータを変更してアクセスし直すと、認証が失敗するか、別のユーザーの情報が表示されることがある。同じパラメータに異なる値を試してみる。クエリパラメータ: ?userid=2 と ?password=1 のようにクエリパラメータを変更してアクセスし直すと、別のユーザーの情報が表示されることがある。同じパラメータに異なる値を試してみる。フォームの入力: username=2 と password=1 のようにフォームの入力を変更してアクセスし直すと、認証が失敗するか、別のユーザーの情報が表示されることがある。同じ入力に異なる値を試してみる。クライアウト: ?logout=1 と ?logout=2 のようにクライアウトパラメータを変更してアクセスし直すと、別のユーザーの情報が表示されることがある。同じパラメータに異なる値を試してみる。注意: これらの検索クエリは、サーバーまたはシステムのセキュリティを弱める可能性があるため、使用する前にサーバー管理者から許可を得てください。</t>
    <phoneticPr fontId="1"/>
  </si>
  <si>
    <t>完全に不適切な回答。OSINTとWeb攻撃の区別ができていない。「検索クエリ」という要件を理解していない。</t>
    <phoneticPr fontId="1"/>
  </si>
  <si>
    <t>OSINT（オープン・ソーシャル・インフォマティクス）で得た情報を検証するために、以下のチェックポイントを使用します。出典の確認：情報源が明確かどうか。正確なURLやタイトルが記載されているか。時期と関連性の確認：情報がどのくらい新しいか、関連性はどれほど高いか。信頼性の評価：情報源の信頼性を評価する。正確性、偏見、誤りなど。検証ツールの使用：検証ツールやソフトウェアを使用して、情報が真実かどうかを確認する。事実チェック：情報に基づいて事実を調べる。例えば、人物名や場所の正確性を確認する。</t>
    <phoneticPr fontId="1"/>
  </si>
  <si>
    <t>用語の正確性（OSINTの定義）。「複数ソースで裏取り」などのOSINTの核心を追加。ツールや具体手順の提示。</t>
    <phoneticPr fontId="1"/>
  </si>
  <si>
    <r>
      <t>基本的なツール紹介としては良いが、</t>
    </r>
    <r>
      <rPr>
        <sz val="11"/>
        <color theme="1"/>
        <rFont val="Yu Gothic"/>
        <family val="3"/>
        <charset val="128"/>
        <scheme val="minor"/>
      </rPr>
      <t>OSINT初動の思考プロセス（観察→仮説→検証）が欠けている</t>
    </r>
    <phoneticPr fontId="1"/>
  </si>
  <si>
    <t>暗号化とハッシュ化の違いを、CTFでの使い分け例つきで説明してください。</t>
    <phoneticPr fontId="1"/>
  </si>
  <si>
    <t>暗号化とハッシュ化の違い暗号化とハッシュ化は、データを変換するために使用される技術ですが、目的、方法、結果が異なります。暗号化暗号化とは、データを読み取ることができるようにすることです。つまり、データが明らかになるように変換します。暗号化は、データの元の形式と完全に等しく戻すことができます。CTFでの使い分け例FLAG{xxx}という形式で答えを隠した場合、解くには暗号化を解除する必要があります。たとえば、ROT13やBase64エンコードなどの単純な置換式暗号化が使用されている場合、解決策は置換式の逆を知ることで実行できます。ハッシュ化ハッシュ化とは、データを変換して一意の数字（ハッシュ値）に変換することです。つまり、データの元の形式や内容は明らかになりません。ハッシュ化は、データの元の形式と完全に等しく戻すことができません。CTFでの使い分け例パスワードやセキュリティトークンなどの機密情報をハッシュ化して保存する場合、ハッシュ値のみが必要なので、解決策はハッシュ値の計算方法を知ることになります。たとえば、パスワードをハッシュ化した後、ハッシュ値を比較してパスワードが一致しているかどうかを判断することができます。まとめ暗号化はデータを変換して読み取ることができるようにすることであり、ハッシ</t>
    <phoneticPr fontId="1"/>
  </si>
  <si>
    <t>Caesar暗号とVigenere暗号の違いを、解読の観点で比較してください。</t>
    <phoneticPr fontId="1"/>
  </si>
  <si>
    <t>「雰囲気説明」で止まっており、CTFの解法比較としては不十分。Caesar：全26通り試す（bruteforce）、頻度分析（Eが多いなど）。Vigenere：鍵長推定（カシスキーテスト / IC）、各列をCaesarとして解く。</t>
    <phoneticPr fontId="1"/>
  </si>
  <si>
    <t>もし良い回答にするなら以下が必要：可逆 / 不可逆の明確化鍵の有無、CTFでの典型的な見分け方、実際の解法例（ツール・コマンド）</t>
    <phoneticPr fontId="1"/>
  </si>
  <si>
    <t>Base64とはデータを文字列に変換するためのエンコード方式であり、画像やテキストなどの任意のデータを特定の規則に従って文字列として表現することができます。Base64自体は暗号化ではありません。データを隠す機能はなく、誰でも元のデータに戻すことが可能です。しかし、暗号化されたデータを文字列として扱うためにBase64が使われることがあるため、暗号と混同されやすいです。このため、Base64が暗号の一種であると誤解されることがあります。</t>
    <phoneticPr fontId="1"/>
  </si>
  <si>
    <t>「Base64は誰でも復元できる（鍵不要）」を明示,暗号との違いを明確化（鍵の有無）,具体例を入れる（CTF向け）,「パラメータ」など不要な表現を削除</t>
    <phoneticPr fontId="1"/>
  </si>
  <si>
    <t>RSAの公開鍵・秘密鍵の役割を、数学が苦手な人向けに説明してください。</t>
    <phoneticPr fontId="1"/>
  </si>
  <si>
    <t>RSAの公開鍵と秘密鍵の役割、RSAは、暗号化と復号化を可能にする安全な通信方法であり、2つの大きな素数 p と q をもとに作られる。公開鍵は誰でも入手でき、データの暗号化に使われる。公開鍵は n（pとqの積）と e という値から構成される。秘密鍵は所有者だけが持ち、暗号文を元に戻す（復号）ために使われる。秘密鍵には d という値が含まれ、この d は e と特別な関係を持つ数である。暗号化は C = M^e mod n で行われ、元のデータ M を公開鍵で変換して暗号文 C にする。復号は M = C^d mod n で行われ、暗号文 C を秘密鍵で元のデータに戻す。RSAの安全性は、大きな数の素因数分解が現実的に困難であることに基づいている。RSAはセキュアな通信やデータ保護などに広く使われている。</t>
    <phoneticPr fontId="1"/>
  </si>
  <si>
    <t>公開鍵・秘密鍵の構成の誤りを修正すべき、「eの条件」を正しく説明（互いに素）、初心者向けなら以下を補足すると良い：mod（余り計算）、なぜ秘密鍵だけで復号できるのか（直感）</t>
    <phoneticPr fontId="1"/>
  </si>
  <si>
    <t>暗号問題で「鍵長が短い」と何が起きるか、攻撃手法とあわせて説明してください。</t>
    <phoneticPr fontId="1"/>
  </si>
  <si>
    <t>暗号の鍵長が短い場合暗号化されたデータを解読することが容易になります攻撃手法1BruteForceAttack強制的な試行錯誤この方法ではすべての可能なキーやパスワードを試して正しいキーまたはパスワードを見つけることを目指しますただしこの方法は大量の計算力と時間が必要です2DictionaryAttack辞書攻撃この方法では暗号化されたデータに含まれる可能性のあるキーやパスワードをリストアップしてそれらを試すことで正しいキーまたはパスワードを見つけることを目指しますただしこの方法はキーやパスワードが辞書に記載されている場合にのみ効果的です3RainbowTableAttack虹色表この方法では暗号化されたデータを解読するために使用されるハッシュ関数のrainbowtableを利用しますrainbowtableは多くのハッシュ関数で使用されているパスワードを含むテーブルですこのテーブルにキーやパスワードが記載されている場合正しいキーまたはパスワードを見つけることができます結果暗号の鍵長が短い場合攻撃者は次のような結果を受けます暗号化されたデータを解読することが容易になります暗号化されたデータに含まれる機密情報が漏洩します暗号化されたデータのセキュリティが低下します対策暗号の鍵長が短い場合以下の対策を講じることができます暗号化されたデータの鍵長を増やします暗号化されたデータに複数のキーやパスワードを使用します暗号化されたデータにハッシュ関数を使用します暗号化されたデータを安全にストレージする方法を確立します注意暗号問題では鍵長が短い場合の攻撃手法と結果については解答で直接説明しませんただし暗号の鍵長が短い場合のリスクと対策については上記の内容を参考にしてください</t>
    <phoneticPr fontId="1"/>
  </si>
  <si>
    <t>「鍵長＝探索空間」の説明を入れるべき, 攻撃手法の選定を適切に（ハッシュ攻撃は別文脈）, CTF的な気づき（bit数→総当たり）を明示</t>
    <phoneticPr fontId="1"/>
  </si>
  <si>
    <t>forensicsでメモリダンプを解析する目的は何ですか？代表的に抽出したい情報を挙げてください。</t>
    <phoneticPr fontId="1"/>
  </si>
  <si>
    <t>メモリダンプの目的 メモリダンプはコンピュータシステムが停止したときに記憶域（メモリー）内のデータを保存しておくことです。このデータには、システムが実行中だったプログラムやデータの内容、システムの状態などが含まれます。メモリダンプを解析する目的は、以下のようなものがあります。1. システムの故障原因を特定する：メモリダンプから、システムが停止した原因を調べることができます。例えば、プログラムのエラー、データの不正、ハードウェアの問題などが原因であるかもしれません。2. セキュリティ上の懸念点を特定する：メモリダンプから、システムが攻撃を受けたり、セキュリティ関連のデータが漏れたりしているかを調べることができます。例えば、スクリプトが実行されたときに何が起こったのか、またはデータがどのように漏れたのかを調べることができます。3. システムの動作を分析する：メモリダンプから、システムが実行中だったプログラムやデータの内容を調べることができます。例えば、システムが何を実行していたか、またはどのデータが使用されているのかを調べることができます。4. バグやエラーを特定する：メモリダンプから、システムがエラーを発生したときのデータを調べることができます。例えば、プログラムのエラーが原因でシステムが停止したかどうかを調べることができます。抽出したい情報 メモリダンプから抽出できる情報は多数ありますが、代表的に以下のようなものがあります。プロセスリスト メモリダンプから、実行中のプロセスやプログラムの内容を調べることができます。データコンテンツ メモリダンプから、システムが使用していたデータの内容を調べることができます。エラー情報 メモリダンプから、システムがエラーを発生したときのデータを調べることができます。セキュリティ関連のデータ メモリダンプから、システムが攻撃を受けたり、セキュリティ関連のデータが漏れたりしているかを調べることができます。ツールの紹介 メモリダンプを解析するには、以下のようなツールが使用されます。OllyDbg Windows用のメモリダンプ分析ツール GDB Linux Unix用のメモリダンプ分析ツール WinDbg Windows用のメモリダンプ分析ツール Memory Forensics Toolkits Linux Unix用のメモリダンプ分析ツール 例えば VolatilityやForemost</t>
    <phoneticPr fontId="1"/>
  </si>
  <si>
    <t>追加すべき：「揮発性情報を取る」という目的の明示,CTFでよく取るデータの列挙（具体）,Volatilityなどのコマンド例</t>
    <phoneticPr fontId="1"/>
  </si>
  <si>
    <t>ディスクイメージ解析で、最初に確認すべき3項目を理由つきで説明してください。</t>
    <phoneticPr fontId="1"/>
  </si>
  <si>
    <t>ディスクイメージ解析の基盤としては、以下の3項目が重要です。1.ファイルシステムの種類（File System Type）ディスクイメージには、ディスク上のファイルシステムが記録されていることが多いでしょう。これらのファイルシステムの種類を確認することで、ディスクイメージ内のデータの構造と内容についてより深く理解できるようになります。たとえば、NTFS（New Technology File System）、HFS（Hierarchical File System）、ext2/3/4などのファイルシステムが存在します。これらのファイルシステムの種類を確認することで、ディスクイメージ内のデータの構造と内容についてより深く理解できるようになります。2.ディスクイメージのサイズ（Disk Image Size）ディスクイメージは、ディスク上のすべてのデータを記録したものです。ディスクイメージのサイズは、ディスク上のすべてのデータの合計容量を表します。これらのファイルシステムの種類を確認することで、ディスクイメージ内のデータの構造と内容についてより深く理解できるようになります。3.ディスクイメージのコンテンツ（Disk Image Content）ディスクイメージは、ディスク上のすべてのデータを記録したものです。ディスクイメージのコンテンツは、ディスク上のすべてのファイルとフォルダーの内容を表します。これらのファイルシステムの種類を確認することで、ディスクイメージ内のデータの構造と内容についてより深く理解できるようになります。</t>
    <phoneticPr fontId="1"/>
  </si>
  <si>
    <t>本来は以下のようになると良い：ハッシュ値（完全性確認）,パーティション構造（どこに何があるか）,ファイルシステム（解析方法の決定）＋ツール例付き</t>
    <phoneticPr fontId="1"/>
  </si>
  <si>
    <t>ステガノグラフィ疑いのある画像を調べる手順を、使用ツール例込みで示してください。</t>
    <phoneticPr fontId="1"/>
  </si>
  <si>
    <t>ステガノグラフィ疑いのある画像を調べる手順 ステガノグラフィ疑いのある画像は、明確なフラグやデータが隠されていることが多いです。このような画像を解読するには、特定のツールとスキルを使用します。 ### 1. 画像の分析 まず、画像を分析してみましょう。以下のツールを使用できます。 * Adobe Photoshop：画像を編集し、ステガノグラフィを探すのに役立ちます。 * GIMP：無料のオープンソースエディターで、Photoshopと同様の機能があります。 * ImageMagick：コマンドラインツールで、画像を変換および分析することができます。 ### 2. ステガノグラフィ探索 次に、ステガノグラフィを探します。以下のツールを使用できます。 * Stegsolve：ステガノグラフィを解読するためのオープンソースツールです。 * ImageSteganographer：画像内に隠されたデータを探すのに役立ちます。 * ExifTool：画像のメタデータを分析し、ステガノグラフィを探します。 ### 3. データ解読 ステガノグラフィが見つかったら、データを解読します。以下のツールを使用できます。 * Base64デコード:隠されたデータをデコードするために使用します。 * Hexエディター: 画像内に含まれるデータをヘックス形式で表示するのに役立ちます。 * Binary Editor：画像内のバイナリデータを編集するには使用できます。 ### 4. 結果の分析 最後に、解読したデータを分析します。以下のスキルを使用できます。 * テキストエディター: 解読したデータをテキスト形式で表示するのに役立ちます。 * データベース管理: 解読したデータを管理し、分析するために使用できます。 * セキュリティツール: 解読したデータをセキュリティ上の懸念に応じて分析します。 ### 5. 結果の報告 最後に、解読した結果を報告します。以下のスキルを使用できます。 * レポート作成: 解読した結果をレポート形式で表示するのに役立ちます。 * プレゼンテーション: 解読した結果をプレゼンテーション形式で示すのに役立ちます。 * セキュリティ分析: 解読した結果をセキュリティ上の懸念に応じて分析します。 ### 6. 画像の修正 最後に、画像を修正してみましょう。以下のツールを使用できます。 * Adobe Photoshop：画像を編集し、ステガノグラフィを探すのに役立ちます。 * GIMP：無料のオープンソースエディターで、Photoshopと同様の機能があります。 * ImageMagick：コマンドラインツールで、画像を変換および分析することができます。 ### 7. ステガノグラフィの再現 最後に、ステガノグラフィを再現してみましょう。以下のツールを使用できます。 * Stegsolve：ステガノグラフィを解読するためのオープンソースツールです。 * ImageSteganographer：画像内に隠されたデータを探すのに役立ちます。 * ExifTool：画像のメタデータを分析し、ステガノグラフィを探します。 ### 8. 結果の保存 最後に、解読した結果を保存してみましょう。以下のスキルを使用できます。 * ファイル保存: 解読した結果をファイル形式で保存するのに役立ちます。 * データベース管理: 解読したデータを管理し、分析するために使用できます。 * セキュリティツール: 解読したデータをセキュリティ上の懸念に応じて分析します。 ### 9. ステガノグラフィの検証 最後に、ステガノグラフィを検証してみましょう。以下のスキルを使用できます。 * ステガノグラフィの再現: ステガノグラフィを再現するために使用します。 * データの検証: 解読したデータを検証するために使用します。</t>
    <phoneticPr fontId="1"/>
  </si>
  <si>
    <t>入れるべき：file, strings, binwalk,zsteg, steghide,Stegsolveの具体操作,無駄な工程（報告・保存など）は削除,コマンドベースで書く</t>
    <phoneticPr fontId="1"/>
  </si>
  <si>
    <t>ログフォレンジックでタイムラインを作るときの注意点を説明してください。</t>
    <phoneticPr fontId="1"/>
  </si>
  <si>
    <t>ログフォレンジックはログファイルから情報を抽出して分析する技術です。この場合LOGフォレンジックでタイムラインを作るときにはいくつかの注意点があります。1データの正確性タイムラインを作る際に使用されるデータはLOGファイルからの情報のみであることが重要です誤った情報が入っている場合はタイムラインが不正確になる可能性があります2タイムスタンプの正確さタイムラインを作るときにはタイムスタンプを正確に考慮する必要がありますLOGファイル内のタイムスタンプはシステムの時刻や日付を表すものであるため誤った情報が入っている場合はタイムラインが不正確になる可能性があります3データの整合性タイムラインを作る際に使用されるデータはLOGファイルからの情報のみであることが重要ですLOGファイル内のデータは整合性が保たれている場合にのみ信頼できるものと見なすことができます4タイムラインの範囲タイムラインを作るときには使用する時間範囲を明確にする必要があります誤った時間範囲を設定するとタイムラインが不正確になる可能性がありますLOGフォレンジックでタイムラインを作るためのツールLOG分析ツールLOGファイルから情報を抽出して分析するツールですデータベース管理システムLOGファイルのデータを保存して管理するツールです時間管理ツールタイムラインを作るときに使用する時間管理ツールですLOGフォレンジックでタイムラインを作るためのコマンドgrep -i timestamp log_file.log LOGファイル内のタイムスタンプを検索しますawk print $1 $2 log_file.log LOGファイル内のタイムスタンプとデータを抽出しますsort -k 11n -k 22n log_file.log LOGファイル内のタイムスタンプが昇順に並べ替えますLOGフォレンジックでタイムラインを作るためのソリューションLOGファイルを分析するLOGファイルを分析してタイムラインを作りますデータを整理するLOGファイルのデータを整理してタイムラインを作ります時間管理を実施するタイムラインを作るときに使用する時間管理を実施します</t>
    <phoneticPr fontId="1"/>
  </si>
  <si>
    <t>改善ポイント：タイムゾーン統一（UTC化）、ログ間の時刻ズレ（NTP未同期）、複数ログの相関（Web / OS / Firewall）、欠損・改ざん検知、フォーマット統一（ISO8601など）</t>
    <rPh sb="0" eb="2">
      <t>カイゼン</t>
    </rPh>
    <phoneticPr fontId="1"/>
  </si>
  <si>
    <t>「改ざんの可能性」を主張する際に必要な証拠の考え方を説明してください。</t>
    <phoneticPr fontId="1"/>
  </si>
  <si>
    <t>改ざんの可能性を示すための証拠 改ざんの可能性を示すには、以下のような証拠が必要です。1.異常なデータ構造: データが通常のパターンに従わないことから始めます。たとえば、ファイル内のデータが不自然に並んでいるか、データが突然変化しているかを確認します。2.不正なエラーやエラーメッセージ: エラーやエラーメッセージが発生することから始めます。たとえば、ファイルの読み込みや書き込みが失敗したり、データ処理が失敗したりします。3.不正なパスワードまたは認証情報: パスワードや認証情報が不正であるか、パスワードが変更されていないかを確認します。4.異常なファイルサイズ: ファイルのサイズが通常の範囲外にあるか、ファイルが突然増加したり減少したりします。5.不正なコンテンツ: データ内のコンテンツが不正であるか、データが突然変化しているかを確認します。証拠の評価 改ざんの可能性を示す証拠を評価するには、以下のような点を考慮します。1.証拠の信頼性: 証拠が信頼できるかどうかを確認します。たとえば、ファイル内のデータが不自然に並んでいる場合、証拠は信頼できません。2.証拠の一致性: 証拠が一貫しているかどうかを確認します。たとえば、ファイル内のデータが不自然に並んでいる場合、証拠は一貫していない可能性があります。3.証拠の関連性: 証拠が改ざんに関連しているかどうかを確認します。たとえば、ファイル内のデータが不自然に並んでいる場合、証拠は改ざんに関連しています。改ざんの可能性を示すための手順 改ざんの可能性を示すには、以下のような手順を実行します。1.データ分析: データを分析して、改ざんの可能性を確認します。2.証拠評価: 証拠を評価して、改ざんの可能性を確認します。3.調査: 改ざんの可能性がある場合、調査を実行して、改ざんの原因を特定します。改ざんの可能性を示すためのツール 改ざんの可能性を示すには、以下のようなツールを使用できます。1.データ分析ツール: データを分析して、改ざんの可能性を確認するために使用できるツールです。2.証拠評価ツール: 証拠を評価して、改ざんの可能性を確認するために使用できるツールです。3.調査ツール: 改ざんの可能性がある場合、調査を実行するために使用できるツールです。</t>
    <phoneticPr fontId="1"/>
  </si>
  <si>
    <t>改善点：ハッシュで改ざん有無を証明、タイムラインの矛盾を示す、複数証拠の相関で裏付ける</t>
    <rPh sb="0" eb="3">
      <t>カイゼンテン</t>
    </rPh>
    <phoneticPr fontId="1"/>
  </si>
  <si>
    <t>Webカテゴリで最初に試すべき脆弱性チェック項目を優先度順に挙げてください。</t>
    <phoneticPr fontId="1"/>
  </si>
  <si>
    <t>Webセキュリティ基礎知識 1. robots.txtのチェック: サイトのルートで /robots.txt にアクセスし、Disallowで禁止されているパスが、隠しディレクトリやフラグの場所であることが多い。 robots.txtはクローラー向けの指示であり、サーバーの設定にも影響するため、最初にチェックする。 2. ソース表示: Ctrl+U（Windows）/ Cmd+Option+U（Mac）、または右クリック「ページのソースを表示」。ソース表示では、HTMLソースやCSSソースが見つかることが多く、開発者ツールでDOMやNetworkタブを確認することで、通信や構造に何か隠されているかを調べる。 3. 開発者ツール: F12。ElementsタブでDOM、Networkタブで通信を確認。開発者ツールでは、ページの構造と通信が明らかになるため、ソース表示と同等の効果がある。 4. HTMLコメントのチェック: &lt;!-- コメント --&gt; の中にフラグがあることが多い。Ctrl+UやElementsで検索することで、コメントに隠された情報を探すことができる。</t>
    <phoneticPr fontId="1"/>
  </si>
  <si>
    <t>優先度：入力値操作（GET/POST改ざん）,XSS / SQLi,認証・認可不備,ディレクトリ探索,情報漏洩（robots.txt / コメント）</t>
    <rPh sb="0" eb="3">
      <t>ユウセンド</t>
    </rPh>
    <phoneticPr fontId="1"/>
  </si>
  <si>
    <t>SQL Injectionの基本原理を、危険な例と安全な対策をセットで説明してください。</t>
    <phoneticPr fontId="1"/>
  </si>
  <si>
    <t>SQL Injectionの基本原理 SQL Injectionは、入力されたデータが SQL クエリに直接影響し、データベースのセキュリティを脅かす攻撃の一種です。 危険な例: SELECT * FROM users WHERE username = 'admin' AND password = 'password'; このクエリでは、ユーザー名とパスワードが直接入力されます。攻撃者は、入力されたデータを操作して、任意のデータアクセスを行うことができます。 SELECT * FROM users WHERE username = 'admin' AND password = 'admin' OR 1=1; このクエリでは、パスワードが直接入力されます。攻撃者は、OR 1=1-clauseを使用して、任意のデータアクセスを行うことができます。 安全な対策: 1. パラメータ化: パラメータをクエリに代入するのではなく、パラメータ化されたクエリを使用します。たとえば、username = ? の形式でパラメータを指定します。 2. Prepared Statements: Prepared Statementsは、パラメータ化されたクエリを使用して、SQL Injectionを防ぐことができます。たとえば、PREPARE stmt FROM 'SELECT * FROM users WHERE username = ?'; と EXECUTE stmt USING 'admin' を使用します。 3. Input Validation: 入力データを検証することで、入力されたデータが有効な形式であるかどうかを確認できます。たとえば、パスワードは最小で8桁の長さでなければならない場合などです。 4. SQL Injection Prevention Tools: SQL Injection Prevention Toolsは、自動的に入力されたデータを検証し、SQL Injectionを防ぐことができます。 安全な実装例: SELECT * FROM users WHERE username = ? AND password = ?; このクエリでは、パラメータ化されたクエリを使用して、入力されたデータが有効な形式であるかどうかを検証します。 PHP例: $stmt = $pdo-&gt;prepare('SELECT * FROM users WHERE username = :username AND password = :password'); $stmt-&gt;bindParam(':username', $username); $stmt-&gt;bindParam(':password', $password); $stmt-&gt;execute();</t>
    <phoneticPr fontId="1"/>
  </si>
  <si>
    <t>初心者向けにするなら以下を追加すると良い：OR 1=1 が「常に真になる条件」だから認証を突破できる,「SQL文が文字列として連結される危険性」を明示</t>
    <phoneticPr fontId="1"/>
  </si>
  <si>
    <t>XSS（反射型・保存型・DOM型）の違いを簡潔に比較してください。</t>
    <phoneticPr fontId="1"/>
  </si>
  <si>
    <t>XSS（Cross-Site Scripting）とは Webアプリケーションで ユーザーが入力したデータを含むHTMLやJavaScriptコードを送信することで 悪意のあるコードが実行される 3種類のXSSに分けられる 1.反射型(XSS - Reflected XSS) User Inputが Web Serverの反映されたURLやリダイレクトなどに含まれる User Inputを含むURLが User Agentに送信され 悪意のあるコードが実行される 2.保存型(XSS - Stored XSS) User Inputが Web Applicationのデータベースやファイルシステムに保存される User Inputを含んだHTMLコードが Web Serverによって生成されたHTMLコードとして表示される 3.DOM型(XSS - DOM-based XSS) User Inputが JavaScript CodeのDOM Tree上で操作され 悪意のあるコードが実行される User Inputを含むJavaScript Codeが Web ApplicationのJavaScript Engineによって解釈され DOM Tree上で操作される XSSの防止 User Inputを正規化して SQL InjectionやCross-Site Scriptingを防ぐ Web ApplicationのCode ReviewとSecurity Auditingを行う Content Security Policy (CSP)を使用する</t>
    <phoneticPr fontId="1"/>
  </si>
  <si>
    <t>反射型：リクエスト → 即レスポンスで反映（保存されない）,保存型：サーバに保存 → 他ユーザにも影響,DOM型：サーバ関係なし → JSがブラウザ内で実行</t>
    <phoneticPr fontId="1"/>
  </si>
  <si>
    <t>SSRFが成立する条件と、実運用での防御策を説明してください。</t>
    <phoneticPr fontId="1"/>
  </si>
  <si>
    <t>SSRF（Server-Side Request Forgery）とは攻撃者が対象サーバーにリクエストを送ってサーバーの内部リソースへのアクセスを可能にする攻撃である。成立条件としては攻撃者がリクエストを送信できること、サーバーがユーザ入力を基に内部リソースへアクセスすることが必要であると説明しているが重要な前提である「ユーザ入力がURLとして利用される」点が明確でなく「リソースの公開」は条件として不適切である。防御策としてリクエスト検証やパラメータ検証、内部リソース制限、WAF、セキュリティテストを挙げているがallowlistやメタデータサービス対策、DNSリバインディング対策、プロトコル制限など重要な実務対策が不足している。全体として説明は読みやすいが抽象的で具体例や攻撃例、実装レベルの防御策がなくCTFや実務には不十分である。総合的に正確性1網羅性1具体性0初心者適合1安全性2情報開示適切性2で合計7点と評価する。</t>
    <phoneticPr fontId="1"/>
  </si>
  <si>
    <t>それっぽい説明、足すべき要素：成立条件：「ユーザ入力がURLとして使われる」、「サーバーがそのURLへアクセスする」攻撃例：http://127.0.0.1http://169.254.169.254/latest/meta-data/防御：allowlistIPレンジチェックDNS再解決対策プロトコル制限</t>
    <phoneticPr fontId="1"/>
  </si>
  <si>
    <t>CTFのWeb問題で「ソースを見る」が有効な理由を具体例つきで説明してください。</t>
    <phoneticPr fontId="1"/>
  </si>
  <si>
    <t>ソースを見る が有効な理由は、Webアプリケーションでは、開発者がコードを公開することはまれです。しかし、そのような状況でソースを見る機能が有効になると、攻撃者は開発者の意図したコードの変更点やセキュリティ対策を分析できるようになります。例: * XSS (Cross-Site Scripting) 攻撃: Webアプリケーションでは、ユーザーが入力したデータを使用して HTML を生成することがあります。攻撃者は、ユーザーの入力データを含む HTML コードを送信し、ユーザーのブラウザでコードを実行できるようにします。 * SQL Injection: Webアプリケーションでは、DB に接続してデータを操作するために SQL を使用します。攻撃者は、入力されたデータを含む SQL コマンドを送信し、DB のデータを操作または削除できます。 ソースを見る機能が有効になると、攻撃者は次のような分析を行うことができます: * コードの変更点: 攻撃者は、開発者の意図したコードの変更点やセキュリティ対策を分析できるようになります。 * データの流出: 攻撃者は、Web アプリケーションが収集するデータを分析できるようになります。 * セキュリティの弱点: 攻撃者は、Web アプリケーションのセキュリティ対策を分析できるようになります。 ソースを見る機能が有効になると、攻撃者は次のようなアプローチを講じることができます: * コード分析: 攻撃者は、開発者の意図したコードの変更点やセキュリティ対策を分析します。 * データ収集: 攻撃者は、Web アプリケーションが収集するデータを分析します。 * セキュリティの弱点の特定: 攻撃者は、Web アプリケーションのセキュリティ対策を分析します。 ソースを見る機能が有効になると、攻撃者は次のようなアプローチを講じることができます: * XSS 攻撃: 攻撃者は、ユーザーの入力データを含む HTML コードを送信し、ユーザーのブラウザでコードを実行します。 * SQL Injection: 攻撃者は、入力されたデータを含む SQL コマンドを送信し、DB のデータを操作または削除します。 ソースを見る機能が有効になると、Web アプリケーションは次のようなリスクにさらされる可能性があります: * セキュリティの弱点: Web アプリケーションのセキュリティ対策が分析され、攻撃者がアプローチを講じることができます。 * データの流出: Web アプリケーションが収集するデータが分析され、攻撃者がアプローチを講じることができます。 ソースを見る機能が有効になると、Web アプリケーションのセキュリティは次のようなリスクにさらされる可能性があります: * XSS 攻撃: Web アプリケーションが XSS 攻撃を受け、ユーザーのブラウザでコードを実行します。 * SQL Injection: Web アプリケーションが SQL Injection 攻撃を受け、DB のデータを操作または削除します。 ソースを見る機能が有効になると、Web アプリケーションのセキュリティ対策は次のようなリスクにさらされる可能性があります: * コードの変更点: Web アプリケーションのコードの変更点やセキュリティ対策が分析され、攻撃者がアプローチを講じることができます。 * データの流出: Web アプリケーションが収集するデータが分析され、攻撃者がアプローチを講じることができます。 ソースを見る機能が有効になると、Web アプリケーションのセキュリティ対策は次のようなリスクにさらされる可能性があります: * セキュリティの弱点: Web アプリケーションのセキュリティ対策が分析され、攻撃者がアプローチを講じることができます。 * データの流出:</t>
    <phoneticPr fontId="1"/>
  </si>
  <si>
    <t>HTMLコメントにフラグ,hidden属性に値,JS内に認証ロジック,APIのURLが埋まっているなどを具体例付きで説明するべき</t>
    <phoneticPr fontId="1"/>
  </si>
  <si>
    <t>「この問題は暗号かフォレンジックか判断がつかない」ときの切り分け方を説明してください。</t>
    <phoneticPr fontId="1"/>
  </si>
  <si>
    <t>暗号 vs フォレンジック CTFの問題では、しばしば暗号やフォレンジックが混ざっています。どちらかを判断することができるとは限りません。暗号 1. 明確な暗号化方法: 問題文で明らかな暗号化方法が示されている場合、暗号と判断できます。 2. 暗号化アルゴリズムの特徴: 特定の暗号化アルゴリズムの特徴を知っている場合、そのアルゴリズムに基づいて解くことができます。たとえば、ROT13やBase64エンコードが明らかである場合。 3. 暗号化されたデータの形式: 問題文で明らかな暗号化されたデータの形式が示されている場合、暗号と判断できます。フォレンジック 1. 明確なフォレンジック方法: 問題文で明らかなフォレンジック方法が示されている場合、フォレンジックと判断できます。 2. フォレンジックの特徴: 特定のフォレンジックの特徴を知っている場合、そのフォレンジックに基づいて解くことができます。たとえば、画像検索や座標特定が明らかである場合。 3. データの分析: 問題文で示されているデータを分析することで、フォレンジック方法が明らかになる可能性があります。切り分け 問題を解く際に、次のような切り分け方を行うことができます。 1. まず、問題文を読み直して、どちらかである可能性のある方法を特定します。 2. 次に、暗号やフォレンジックの特徴を調べることで、どちらかである可能性が高いことを判断します。 3. 最後に、選択した方法を適用し、解を出します。例 問題文: 「FLAG{xxx}」が隠されている画像を見つけます。画像は Googleストリートビューで見つけることができます。この場合、明確なフォレンジック方法であるGoogleストリートビューでの画像検索が示されています。したがって、この問題はフォレンジックです。ただし、問題文には暗号化されたデータの形式も示されています。たとえば、「xxx」が ROT13暗号化されている可能性があります。この場合、暗号を解くことができます。したがって、この問題では、両方の方法を適用する必要があります。まず、フォレンジック方法を使用して画像を見つけ、次にROT13暗号を解いてFLAG{xxx}を出します。</t>
    <phoneticPr fontId="1"/>
  </si>
  <si>
    <t>本来はこういう切り分けが必要：文字列なら → 暗号を疑う,英数字だけ → Base64 / hex,意味不明文字列 → substitution系,ファイルが配布されている → フォレンジック寄り,画像・pcap・zipなど、「中身を読む vs 変換する」で分ける：読む → フォレンジック, 変換 → 暗号</t>
    <phoneticPr fontId="1"/>
  </si>
  <si>
    <t>問題文が曖昧なときの進め方 ### 1. 仮説を立てる * 曖昧な問題文に基づいて、最も妥当な仮説を立てます。 * 仮説は、問題文と一致するように設計されなければなりません。 ### 2. 仮説の検証 * 仮説に基づいて、必要なデータや情報を収集します。 * 仮説を検証するために、適切なツールやソフトウェアを使用します。 ### 3. 仮説の評価 * 仮説が正しいかどうかを評価します。 * 仮説が正しい場合、次に進むためのステップを決定します。 * 仮説が間違っている場合、仮説を修正または新たな仮説を立てます。 ### 4. 仮説の検証と評価の繰り返し * 仮説を検証して評価するというプロセスは繰り返されます。 * 仮説が間違っている場合、次に進むためのステップを決定します。 ### 5. 仮説の修正と新たな仮説の立て * 仮説を修正または新たな仮説を立てるために、必要な情報やデータを収集します。 * 修正または新たな仮説を検証して評価します。 ### 6. 問題解決の最終ステップ * 仮説が正しい場合、問題解決の最終ステップに到達します。 * 仮説が間違っている場合、問題解決の最終ステップに到達するまで繰り返しステップを実行します。 ### 7. 仮説の検証と評価のためのツール * 仮説を検証して評価するために、適切なツールやソフトウェアを使用します。 * 例えば、データ分析ツール、ソフトウェア開発ツール、Webクライアントなどが使用できます。 ### 8. 仮説の修正と新たな仮説の立てためのツール * 仮説を修正または新たな仮説を立てるために、必要な情報やデータを収集するために、適切なツールやソフトウェアを使用します。 * 例えば、データ分析ツール、ソフトウェア開発ツール、Webクライアントなどが使用できます。 ### 9. 仮説の検証と評価のためのリソース * 仮説を検証して評価するために、適切なリソースを利用します。 * 例えば、データ分析リソース、ソフトウェア開発リソース、Webクライアントリソースなどが利用できます。 ### 10. 仮説の修正と新たな仮説の立てためのリソース * 仮説を修正または新たな仮説を立てるために、必要な情報やデータを収集するために、適切なリソースを利用します。 * 例えば、データ分析リソース、ソフトウェア開発リソース、Webクライアントリソースなどが利用できます。</t>
    <phoneticPr fontId="1"/>
  </si>
  <si>
    <t>初心者がハマりやすいCTFの落とし穴を5つ挙げ、回避策も示してください。</t>
    <phoneticPr fontId="1"/>
  </si>
  <si>
    <t>初心者のCTF選手にとっては、落とし穴に気づきにくいものが多いでしょう。ここでは、5つの落とし穴を紹介します。### 1. パラメータの不正解 * CTF選手は、パラメータの値を入力する際に、正しい値を選択しないことがあるでしょう。たとえば、flag.txt のパスを入力する場合、/etc/passwd など、無関係なディレクトリを選択したり、正しいディレクトリのパスを入力せずに、. または .. を選択したりすることがあります。回避策: パラメータの値を確認し、正しいディレクトリやファイルを選択します。flag.txt のパスは、/etc/passwd などのディレクトリではなく、/path/to/flag.txt など、実際に存在するディレクトリとファイルのパスです。### 2. SQL Injection * CTF選手は、SQL Injection に気づきにくいことがあります。たとえば、SELECT * FROM users WHERE username = 'admin' AND password = 'password' のように、入力値を直接 SQL のWHERE-clause に代入する場合があります。回避策: SQL Injection を防ぐために、パラメータの値を正しく処理し、SQL のWHERE-clause に入力値を直接代入しないよう注意します。' OR 1=1 -- などの特殊な入力値は、SQL Injection の標的です。### 3. ファイルの存在確認 * CTF選手は、ファイルが存在するかどうか確認せずに、ファイルを読み取る場合があります。たとえば、flag.txt が存在しないと、エラーが発生します。回避策: ファイルの存在を確認し、ファイルが存在するかどうか確認します。file -i flag.txt などのコマンドを使用して、ファイルの属性を確認できます。### 4. パッケージの不正解 * CTF選手は、パッケージの不正解に気づきにくいことがあります。たとえば、pip install -r requirements.txt のように、入力値を正しく処理しない場合があります。回避策: パッケージの不正解を防ぐために、パッケージの依存性を確認し、正しいパッケージを選択します。pip freeze &gt; requirements.txt などのコマンドを使用して、パッケージの依存性を確認できます。### 5. タイムアウト * CTF選手は、タイムアウトに気づきにくいことがあります。たとえば、time -t 30s のように、入力値を正しく処理しない場合があります。回避策: タイムアウトを防ぐために、入力値を正しく処理し、タイムアウトを回避します。time -t 30s などのコマンドを使用して、時間制限を確認できます。</t>
    <phoneticPr fontId="1"/>
  </si>
  <si>
    <t>この回答に足りないのは以下：仮説の“立て方”（例：ファイルならstrings、Webならパラメータ改変 など）仮説の“分岐管理”（複数の可能性をどう並行検証するか）“手を動かす具体例”</t>
    <phoneticPr fontId="1"/>
  </si>
  <si>
    <t>「CTFの落とし穴」ではなく「一般的な技術ミス・脆弱性説明」になっている。ソースコードを見ない、問題文を深読みしすぎる / しなさすぎる、ツールに頼りすぎる、カテゴリを誤る、フラグ形式を確認しないなどが必要</t>
    <phoneticPr fontId="1"/>
  </si>
  <si>
    <t>30分以内に進捗がない場合のリカバリ手順 1.休憩時間（5分）-休憩時間を取って、頭を清めること。-休憩中に、気分をよくするために音楽や動画を鑑賞する。2.問題解決アプローチの変更-まずは、現在のアプローチを再評価し、改善するかどうかを検討する。-新しいアプローチを試してみる。3.リソースの再検索-これまでに使用したリソースやツールを再検索し、新たな情報を収集する。-これらのリソースは、問題解決に役立つかもしれません。4.他のアプリケーションまたはツールの使用-これまでに使用していないアプリケーションやツールを試してみる。-これらのアプリケーションやツールは、問題解決に役立つかもしれません。5.チームメンバーとコミュニケーション-チームメンバーとコミュニケーションをとって、進捗状況を共有する。-チームメンバーの意見やアプローチを聞き、協力して問題解決する。6.リソースの再活用-これまでに使用したリソースやツールを再活用する。-これらのリソースは、問題解決に役立つかもしれません。7.休憩時間（5分）-休憩時間を取って、頭を清めること。-休憩中に、気分をよくするために音楽や動画を鑑賞する。8.新たなアプローチの試行-新たなアプローチを試してみる。-これらのアプローチは、問題解決に役立つかもしれません。</t>
    <phoneticPr fontId="1"/>
  </si>
  <si>
    <t>足りないもの：「CTF用の切り替え手順」「具体的な次の一手」「判断基準」、理想：5分でやるチェックリスト、コマンド例、別解アプローチ（カテゴリ切替）、writeup / ツール活用</t>
    <rPh sb="0" eb="1">
      <t>タ</t>
    </rPh>
    <rPh sb="37" eb="39">
      <t>リソウ</t>
    </rPh>
    <phoneticPr fontId="1"/>
  </si>
  <si>
    <t>CTF学習を継続するための1週間の練習メニューを作ってください。</t>
    <phoneticPr fontId="1"/>
  </si>
  <si>
    <t>CTF学習の1週間の練習メニュー ### 日程 * 日付: [日付] * 時間: [時間] ### 日程 | 日 | トピック | 運用方法 | | :-- | :------ | :-------- | | 1日目 | 暗号化 | [参考資料1]を読み、SPLの解釈と暗号化の基本概念を学ぶ。 | | 2日目 | OSINT | [参考資料2]を読み、組織の特定と情報収集の方法を学ぶ。 | | 3日目 | プログラミング | [参考資料4]を読み、SPLの基本構造とプログラミングの原則を学ぶ。 | | 4日目 | フラグ解析 | [参考資料3]を読み、フラグ解析の方法とツールを学ぶ。 | | 5日目 | 実践問題 | [参考資料1]から始めて、次に[参考資料2]を解く。 | ### 日程 | 日 | トピック | 運用方法 | | :-- | :------ | :-------- | | 6日目 | プログラミング実習 | [参考資料4]の問題を解く。 | | 7日目 | フラグ作成と送信 | [参考資料5]を読み、フラグを作成し送信する。 | ### 日程 | 日 | トピック | 運用方法 | | :-- | :------ | :-------- | | 8日目 | リビューと改善 | [参考資料1]から始めて、次に[参考資料2]を解く。 | ### 日程 | 日 | トピック | 運用方法 | | :-- | :------ | :-------- | | 9日目 | CTF参加準備 | [参考資料3]と[参考資料4]の問題を解く。 | ### 日程 | 日 | トピック | 運用方法 | | :-- | :------ | :-------- | | 10日目 | CTF参加 | [参考資料5]の問題を解く。 | ### 日程 | 日 | トピック | 運用方法 | | :-- | :------ | :-------- | | 11日目 | リビューと改善 | [参考資料1]から始めて、次に[参考資料2]を解く。 | ### 日程 | 日 | トピック | 運用方法 | | :-- | :------ | :-------- | | 12日目 | CTF参加準備 | [参考資料3]と[参考資料4]の問題を解く。 | ### 日程 | 日 | トピック | 運用方法 | | :-- | :------ | :-------- | | 13日目 | CTF参加 | [参考資料5]の問題を解く。 | ### 日程 | 日 | トピック | 運用方法 | | :-- | :------ | :-------- | | 14日目 | リビューと改善 | [参考資料1]から始めて、次に[参考資料2]を解く。 | ### 日程 | 日 | トピック | 運用方法 | | :-- | :------ | :-------- | | 15日目 | CTF参加準備 | [参考資料3]と[参考資料4]の問題を解く。 | ### 日程 | 日 | トピック | 運用方法 | | :-- | :------ | :-------- | | 16日目 | CTF参加 | [参考資料5]の問題を解く。 | ### 日程 | 日 | トピック | 運用方法 | | :-- | :------ | :-------- | | 17日目 | リビューと改善 | [参考資料1]から始めて、次に[参考資料2]を解く。 | ### 日程 | 日 | トピック | 運用方法 | | :-- | :------ | :-------- | | 18日目 | CTF参加準備 | [参考資料3]と[参考資料4]の問題を解く。 | ### 日程 | 日 | トピック | 運用方法 | | :-- | :------ | :-------- | | 19日目 | CTF参加 | [参考資料5]の問題を解く。 | ### 日</t>
    <phoneticPr fontId="1"/>
  </si>
  <si>
    <t>計画として機能していない。Dayごとに「やるサイト」「使うツール」「目標」を明示例：picoCTF / Burp / CyberChef など「詰まったときの行動」も含める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</si>
</sst>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3">
    <font>
      <sz val="11"/>
      <color theme="1"/>
      <name val="Yu Gothic"/>
      <family val="2"/>
      <scheme val="minor"/>
    </font>
    <font>
      <sz val="6"/>
      <name val="Yu Gothic"/>
      <family val="3"/>
      <charset val="128"/>
      <scheme val="minor"/>
    </font>
    <font>
      <sz val="11"/>
      <color theme="1"/>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76" fontId="0" fillId="0" borderId="0" xfId="0" applyNumberFormat="1"/>
  </cellXfs>
  <cellStyles count="1">
    <cellStyle name="標準"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63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光太朗 桑原" id="{4C973BD8-4987-43D4-9282-C0C6467F9792}" userId="8bc762f82c3de608"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3407E5-8EA7-4126-AF43-39C32820C039}" name="テーブル1" displayName="テーブル1" ref="A1:O27" totalsRowCount="1">
  <autoFilter ref="A1:O26" xr:uid="{273407E5-8EA7-4126-AF43-39C32820C039}"/>
  <tableColumns count="15">
    <tableColumn id="1" xr3:uid="{EC454B40-FFBF-454F-BA6E-DFABDC977022}" name="チャンク数"/>
    <tableColumn id="2" xr3:uid="{EF9A4E5E-A94A-4CD0-B49F-AFFECE8A17E4}" name="オーバーラップ"/>
    <tableColumn id="3" xr3:uid="{B6087490-9276-4346-9067-368355D26F0B}" name="質問番号"/>
    <tableColumn id="14" xr3:uid="{F8CC3625-6041-4B76-83A6-DDB6CD012F4F}" name="カテゴリー"/>
    <tableColumn id="4" xr3:uid="{F48B745A-0A5B-49F7-AC16-409850E60085}" name="質問文"/>
    <tableColumn id="15" xr3:uid="{BD21CC8A-5D0F-4E72-8553-8E410CF9E696}" name="回答文"/>
    <tableColumn id="5" xr3:uid="{9AD49369-09EC-44AC-8B08-AA15D4084078}" name="正確性" totalsRowFunction="custom">
      <totalsRowFormula>AVERAGE(テーブル1[正確性])</totalsRowFormula>
    </tableColumn>
    <tableColumn id="6" xr3:uid="{921B79C6-9742-4250-9401-B2B48B4C0EC4}" name="網羅性" totalsRowFunction="custom">
      <totalsRowFormula>AVERAGE(テーブル1[網羅性])</totalsRowFormula>
    </tableColumn>
    <tableColumn id="7" xr3:uid="{FDD2C793-777A-491D-8B77-7BA2AD12C3D3}" name="具体性" totalsRowFunction="custom">
      <totalsRowFormula>AVERAGE(テーブル1[具体性])</totalsRowFormula>
    </tableColumn>
    <tableColumn id="8" xr3:uid="{549F2F0D-7EE3-43FF-9512-F66E5F3722D9}" name="初心者適合" totalsRowFunction="custom">
      <totalsRowFormula>AVERAGE(テーブル1[初心者適合])</totalsRowFormula>
    </tableColumn>
    <tableColumn id="9" xr3:uid="{F52A368E-B9CA-4221-B6D2-A949D305894C}" name="安全性・倫理" totalsRowFunction="custom">
      <totalsRowFormula>AVERAGE(テーブル1[安全性・倫理])</totalsRowFormula>
    </tableColumn>
    <tableColumn id="16" xr3:uid="{B2F94DD1-951E-453D-9E7E-1D469549FF5F}" name="情報開示適切性" totalsRowFunction="custom">
      <totalsRowFormula>AVERAGE(テーブル1[情報開示適切性])</totalsRowFormula>
    </tableColumn>
    <tableColumn id="10" xr3:uid="{8552103F-17AF-4D33-827F-0DF3BDA6287F}" name="小計" totalsRowFunction="custom" dataDxfId="17">
      <calculatedColumnFormula>SUM(テーブル1[[#This Row],[正確性]:[情報開示適切性]])</calculatedColumnFormula>
      <totalsRowFormula>AVERAGE(テーブル1[小計])</totalsRowFormula>
    </tableColumn>
    <tableColumn id="17" xr3:uid="{7A1C68B8-1037-449E-88D1-2875802CA60C}" name="平均" totalsRowFunction="custom" dataDxfId="16">
      <calculatedColumnFormula>AVERAGE(テーブル1[[#This Row],[正確性]:[情報開示適切性]])</calculatedColumnFormula>
      <totalsRowFormula>AVERAGE(テーブル1[平均])</totalsRowFormula>
    </tableColumn>
    <tableColumn id="13" xr3:uid="{5DB485CF-C4CB-4705-8161-ED9FDEA0207B}" name="コメント・改善案"/>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9FB2DD-F8CE-437F-9FF4-48667C0BADAF}" name="テーブル15" displayName="テーブル15" ref="A30:O55" totalsRowShown="0">
  <autoFilter ref="A30:O55" xr:uid="{7A9FB2DD-F8CE-437F-9FF4-48667C0BADAF}"/>
  <tableColumns count="15">
    <tableColumn id="1" xr3:uid="{5D6DA290-0C96-457D-B0F1-8144AE4C0B95}" name="チャンク数"/>
    <tableColumn id="2" xr3:uid="{213338F0-E7A9-488B-A47B-9C41B3D998E0}" name="オーバーラップ"/>
    <tableColumn id="3" xr3:uid="{F5DFC49A-9653-4A83-A7C4-F11FBF803F03}" name="質問番号"/>
    <tableColumn id="14" xr3:uid="{FE004D6A-FE0D-4455-8A2C-FA1C2EA1F2EE}" name="カテゴリー"/>
    <tableColumn id="4" xr3:uid="{73CE607C-A4DC-4468-93B4-AD6CF8EB9DFA}" name="質問文"/>
    <tableColumn id="15" xr3:uid="{85354774-64F7-4AAF-98A1-A64C6D3BA301}" name="回答文"/>
    <tableColumn id="5" xr3:uid="{154A7917-966D-4441-91F1-5351AC303A82}" name="正確性"/>
    <tableColumn id="6" xr3:uid="{F42C2D2B-28A9-426B-AB2E-60F204D2C144}" name="網羅性"/>
    <tableColumn id="7" xr3:uid="{B2747281-380B-41D5-817A-F7CAB953B1E6}" name="具体性"/>
    <tableColumn id="8" xr3:uid="{7AC382F8-FE97-4BAD-BE0C-B92C2FF054E2}" name="初心者適合"/>
    <tableColumn id="9" xr3:uid="{E29AE6BA-82A6-424D-8A32-6AC81B59B5DF}" name="安全性・倫理"/>
    <tableColumn id="16" xr3:uid="{7FA892E2-6712-4C6C-9FE2-CBBB579D1A87}" name="情報開示適切性"/>
    <tableColumn id="10" xr3:uid="{D77998FA-275A-4819-93AE-DE43BC6FAC8A}" name="小計" dataDxfId="15">
      <calculatedColumnFormula>SUM(テーブル15[[#This Row],[正確性]:[情報開示適切性]])</calculatedColumnFormula>
    </tableColumn>
    <tableColumn id="17" xr3:uid="{14E15987-1774-4FD8-AE08-E97C79A9687C}" name="平均" dataDxfId="14">
      <calculatedColumnFormula>AVERAGE(テーブル15[[#This Row],[正確性]:[情報開示適切性]])</calculatedColumnFormula>
    </tableColumn>
    <tableColumn id="13" xr3:uid="{B5C5D61D-1D21-4BC5-85BE-AA2DE6E8CED9}" name="コメント"/>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C347F6-A3F9-4784-8C23-0BBE165B58AE}" name="テーブル19" displayName="テーブル19" ref="A59:O84" totalsRowShown="0">
  <autoFilter ref="A59:O84" xr:uid="{9AC347F6-A3F9-4784-8C23-0BBE165B58AE}"/>
  <tableColumns count="15">
    <tableColumn id="1" xr3:uid="{986BD50D-9BD8-4044-8560-CC4F0BC8E81A}" name="チャンク数"/>
    <tableColumn id="2" xr3:uid="{15A4B23A-C9BE-4A93-AACE-24B722FBB831}" name="オーバーラップ"/>
    <tableColumn id="3" xr3:uid="{70F50DEB-0738-4F7B-92C1-A74E5F70385F}" name="質問番号"/>
    <tableColumn id="14" xr3:uid="{B327CD0C-F8E2-4435-AECB-FF32D6E7F721}" name="カテゴリー"/>
    <tableColumn id="4" xr3:uid="{4D7C1387-259E-463F-8863-7CFD225EE312}" name="質問文"/>
    <tableColumn id="15" xr3:uid="{902238AA-5E30-48BF-81A8-5B6D11984FFB}" name="回答文"/>
    <tableColumn id="5" xr3:uid="{F84A3530-B2CC-4F15-B222-B8B11D479069}" name="正確性"/>
    <tableColumn id="6" xr3:uid="{4040925F-9C35-43A9-B752-E2ACF0FD7424}" name="網羅性"/>
    <tableColumn id="7" xr3:uid="{FE5F315C-53A8-4D93-BEDD-1B19CEBD6D5E}" name="具体性"/>
    <tableColumn id="8" xr3:uid="{103A08A6-2ACC-4F57-A5B8-AC2E200D34A8}" name="初心者適合"/>
    <tableColumn id="9" xr3:uid="{1B721DBD-66BB-4AE6-8CD0-B2F422B24C99}" name="安全性・倫理"/>
    <tableColumn id="16" xr3:uid="{F59AEC3C-50AE-4BE7-B566-B8B5A30A3174}" name="情報開示適切性"/>
    <tableColumn id="10" xr3:uid="{B2EAFD52-F27F-485F-AF40-8E517D709982}" name="小計" dataDxfId="13">
      <calculatedColumnFormula>SUM(テーブル19[[#This Row],[正確性]:[情報開示適切性]])</calculatedColumnFormula>
    </tableColumn>
    <tableColumn id="17" xr3:uid="{6700C351-A713-4A00-AF11-07EFDDC8F018}" name="平均" dataDxfId="12">
      <calculatedColumnFormula>AVERAGE(テーブル19[[#This Row],[正確性]:[情報開示適切性]])</calculatedColumnFormula>
    </tableColumn>
    <tableColumn id="13" xr3:uid="{5284BE7D-3370-454E-BC94-10D747F3BF21}" name="コメント"/>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EA9398B-6D91-4ABF-BCC7-1EEA051E2711}" name="テーブル110" displayName="テーブル110" ref="A1:O26" totalsRowShown="0">
  <autoFilter ref="A1:O26" xr:uid="{CEA9398B-6D91-4ABF-BCC7-1EEA051E2711}"/>
  <tableColumns count="15">
    <tableColumn id="1" xr3:uid="{4327FB08-844D-4988-85E8-16DEAABE5306}" name="チャンク数"/>
    <tableColumn id="2" xr3:uid="{C49B00DB-5E6F-4F50-B498-C1609F5AEC02}" name="オーバーラップ"/>
    <tableColumn id="3" xr3:uid="{8DD7933C-DCE2-4D3E-9689-FD132CDA6CA9}" name="質問番号"/>
    <tableColumn id="14" xr3:uid="{52FBB2B5-A8CF-496E-8368-30C4DABA5E3A}" name="カテゴリー"/>
    <tableColumn id="4" xr3:uid="{655DA379-9239-4C52-86A8-6D255EF8C41C}" name="質問文"/>
    <tableColumn id="15" xr3:uid="{52F001B4-9743-42A6-B7A7-25DD7FCE3E8F}" name="回答文"/>
    <tableColumn id="5" xr3:uid="{51522FFF-90EF-4AA7-819C-4E6344D6F051}" name="正確性"/>
    <tableColumn id="6" xr3:uid="{CD2CA814-0F36-4358-A017-69059F9614BD}" name="網羅性"/>
    <tableColumn id="7" xr3:uid="{FAF1FEAF-1825-422E-9C3F-351C51A963E6}" name="具体性"/>
    <tableColumn id="8" xr3:uid="{E14A6D82-3D9A-4CF8-8298-FADA90EA9595}" name="初心者適合"/>
    <tableColumn id="9" xr3:uid="{84407571-4724-49A1-94BF-37E6677D3A1A}" name="安全性・倫理"/>
    <tableColumn id="16" xr3:uid="{AB6DE659-4A47-443A-9035-C5E19F5907D2}" name="情報開示適切性"/>
    <tableColumn id="10" xr3:uid="{74D42527-CC73-4B8D-AE04-BFA693DFA257}" name="小計" dataDxfId="11">
      <calculatedColumnFormula>SUM(テーブル110[[#This Row],[正確性]:[情報開示適切性]])</calculatedColumnFormula>
    </tableColumn>
    <tableColumn id="17" xr3:uid="{1D97958E-3338-4D77-ADBD-59F50BB07E86}" name="平均" dataDxfId="10">
      <calculatedColumnFormula>AVERAGE(テーブル110[[#This Row],[正確性]:[情報開示適切性]])</calculatedColumnFormula>
    </tableColumn>
    <tableColumn id="13" xr3:uid="{A7460FB2-21A3-4A89-A9BD-98F84753C473}" name="コメント"/>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B1AF36B-1FF8-4DA9-B6FC-9FF5297E7427}" name="テーブル113" displayName="テーブル113" ref="A30:O55" totalsRowShown="0">
  <autoFilter ref="A30:O55" xr:uid="{CB1AF36B-1FF8-4DA9-B6FC-9FF5297E7427}"/>
  <tableColumns count="15">
    <tableColumn id="1" xr3:uid="{3A8EDE3C-8B90-4187-8E64-E0B4E67BDA65}" name="チャンク数"/>
    <tableColumn id="2" xr3:uid="{F11B8970-9136-4B38-9931-AD996157A28C}" name="オーバーラップ"/>
    <tableColumn id="3" xr3:uid="{0D57E6C8-FC29-42A0-959F-743271E3B64B}" name="質問番号"/>
    <tableColumn id="14" xr3:uid="{E4B310C0-59CE-48E6-813D-9E4F97A1D5EF}" name="カテゴリー"/>
    <tableColumn id="4" xr3:uid="{05ADA0E4-C58B-4BEC-BFC6-611AF24F2ACE}" name="質問文"/>
    <tableColumn id="15" xr3:uid="{128F6451-6DEA-4471-8842-2EAB92D94A8F}" name="回答文"/>
    <tableColumn id="5" xr3:uid="{17EC9ED7-0AAA-44EA-BC7C-F4031D19A916}" name="正確性"/>
    <tableColumn id="6" xr3:uid="{06072533-6F03-4247-9F06-419238627503}" name="網羅性"/>
    <tableColumn id="7" xr3:uid="{CF06E335-B647-41D7-B6D2-E8A4B69681F7}" name="具体性"/>
    <tableColumn id="8" xr3:uid="{B46A33C4-BE89-42AE-8712-72AD720B18C0}" name="初心者適合"/>
    <tableColumn id="9" xr3:uid="{8630CD73-0ECB-47FD-972F-EEE4E00686BC}" name="安全性・倫理"/>
    <tableColumn id="16" xr3:uid="{41D07895-708D-4785-8837-867546C56DF6}" name="情報開示適切性"/>
    <tableColumn id="10" xr3:uid="{1E8121AB-70A7-413F-9018-ADC229FA3203}" name="小計" dataDxfId="9">
      <calculatedColumnFormula>SUM(テーブル113[[#This Row],[正確性]:[情報開示適切性]])</calculatedColumnFormula>
    </tableColumn>
    <tableColumn id="17" xr3:uid="{BD58A1C8-CA68-4A97-90D6-21BD8726D6E7}" name="平均" dataDxfId="8">
      <calculatedColumnFormula>AVERAGE(テーブル113[[#This Row],[正確性]:[情報開示適切性]])</calculatedColumnFormula>
    </tableColumn>
    <tableColumn id="13" xr3:uid="{F37AA0BF-38FC-4E2D-B8B8-7D39EA890F38}" name="コメント"/>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DE1B621-2A82-4AFE-87CC-C7C2AAFC5F1C}" name="テーブル114" displayName="テーブル114" ref="A59:O84" totalsRowShown="0">
  <autoFilter ref="A59:O84" xr:uid="{2DE1B621-2A82-4AFE-87CC-C7C2AAFC5F1C}"/>
  <tableColumns count="15">
    <tableColumn id="1" xr3:uid="{2079B14E-59E6-44B7-85C9-35C8DDF12902}" name="チャンク数"/>
    <tableColumn id="2" xr3:uid="{7C3BB3D2-BD9A-4F89-9113-20B3BE7A9721}" name="オーバーラップ"/>
    <tableColumn id="3" xr3:uid="{30AE38A9-F2A9-4FFE-A192-3C83A0A43868}" name="質問番号"/>
    <tableColumn id="14" xr3:uid="{AB854C10-3010-4386-88E0-A610E2EBF992}" name="カテゴリー"/>
    <tableColumn id="4" xr3:uid="{886F52D2-726E-49A4-9EEA-092F76003BCC}" name="質問文"/>
    <tableColumn id="15" xr3:uid="{C41DE44F-32AF-4494-B5CE-ECCED80C8EEB}" name="回答文"/>
    <tableColumn id="5" xr3:uid="{BE5DF8E0-CF66-4FD7-9644-EA02A78DA96A}" name="正確性"/>
    <tableColumn id="6" xr3:uid="{302BE456-7F47-4AB0-AD5F-9CC6B8369AE1}" name="網羅性"/>
    <tableColumn id="7" xr3:uid="{475DF688-17C2-44AD-917A-910CDA58E99D}" name="具体性"/>
    <tableColumn id="8" xr3:uid="{9F38D62B-25DE-4166-82B4-C74F2AA871E1}" name="初心者適合"/>
    <tableColumn id="9" xr3:uid="{6D14F38F-E317-4F29-A4D0-ECE6D0CE9079}" name="安全性・倫理"/>
    <tableColumn id="16" xr3:uid="{CB864896-BE9F-4924-AE9C-888584A775F6}" name="情報開示適切性"/>
    <tableColumn id="10" xr3:uid="{DD1EB79A-E622-42D6-A4B4-51B1DC390232}" name="小計" dataDxfId="7">
      <calculatedColumnFormula>SUM(テーブル114[[#This Row],[正確性]:[情報開示適切性]])</calculatedColumnFormula>
    </tableColumn>
    <tableColumn id="17" xr3:uid="{D38DCE1E-8229-4166-B756-2826DDF2C1C5}" name="平均" dataDxfId="6">
      <calculatedColumnFormula>AVERAGE(テーブル114[[#This Row],[正確性]:[情報開示適切性]])</calculatedColumnFormula>
    </tableColumn>
    <tableColumn id="13" xr3:uid="{7DE95D64-F468-4C31-8F06-1A2E0EBD8039}" name="コメント"/>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FC9B029-CD19-4052-BDCC-5AECBA9B8798}" name="テーブル115" displayName="テーブル115" ref="A1:O26" totalsRowShown="0">
  <autoFilter ref="A1:O26" xr:uid="{8FC9B029-CD19-4052-BDCC-5AECBA9B8798}"/>
  <tableColumns count="15">
    <tableColumn id="1" xr3:uid="{8ED8E2B0-01C5-4694-8B59-D4EFBAD747ED}" name="チャンク数"/>
    <tableColumn id="2" xr3:uid="{1310273A-3C1A-452E-B1A8-B2A15FC9CAD4}" name="オーバーラップ"/>
    <tableColumn id="3" xr3:uid="{EFD20D55-70E7-4B55-BA89-0906F74F6731}" name="質問番号"/>
    <tableColumn id="14" xr3:uid="{824FB133-0CF2-482D-90A8-4C6019DA9044}" name="カテゴリー"/>
    <tableColumn id="4" xr3:uid="{479577DD-9490-4024-A4D3-1382FDFC9379}" name="質問文"/>
    <tableColumn id="15" xr3:uid="{16DE539B-70F9-438B-B83E-74AA6AD6F456}" name="回答文"/>
    <tableColumn id="5" xr3:uid="{C4A3B687-25A4-45FD-8A94-1DF1E29023D4}" name="正確性"/>
    <tableColumn id="6" xr3:uid="{5705ECDE-00F7-4727-8B29-87133D09E922}" name="網羅性"/>
    <tableColumn id="7" xr3:uid="{47EFAEF4-8E19-423E-8691-6529DB45718C}" name="具体性"/>
    <tableColumn id="8" xr3:uid="{80BFA1E7-0BF2-4CC9-AC3F-626A23C6CBB2}" name="初心者適合"/>
    <tableColumn id="9" xr3:uid="{3E031600-321D-4D5A-99A4-4142C67AE585}" name="安全性・倫理"/>
    <tableColumn id="16" xr3:uid="{0BEEAE1B-5F61-4C49-96D2-1D5507CB8C37}" name="情報開示適切性"/>
    <tableColumn id="10" xr3:uid="{6104BC36-D916-4CC7-BA0E-6F031CEC086C}" name="小計" dataDxfId="5">
      <calculatedColumnFormula>SUM(テーブル115[[#This Row],[正確性]:[情報開示適切性]])</calculatedColumnFormula>
    </tableColumn>
    <tableColumn id="17" xr3:uid="{7533C3CA-AD56-4F55-9702-F2C5FF7AC04A}" name="平均" dataDxfId="4">
      <calculatedColumnFormula>AVERAGE(テーブル115[[#This Row],[正確性]:[情報開示適切性]])</calculatedColumnFormula>
    </tableColumn>
    <tableColumn id="13" xr3:uid="{11923E99-94ED-4599-8F2F-A0F043B8E8C0}" name="コメント"/>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7793A1-D865-44D7-80A2-D264764BDAB4}" name="テーブル116" displayName="テーブル116" ref="A30:O55" totalsRowShown="0">
  <autoFilter ref="A30:O55" xr:uid="{A47793A1-D865-44D7-80A2-D264764BDAB4}"/>
  <tableColumns count="15">
    <tableColumn id="1" xr3:uid="{F7E0D5A2-0115-46B4-94EC-9F9D298744F7}" name="チャンク数"/>
    <tableColumn id="2" xr3:uid="{2065B49B-B35D-418C-9674-DA2CE812CD12}" name="オーバーラップ"/>
    <tableColumn id="3" xr3:uid="{563C8248-79E2-4EB3-B6AA-61BF5511CC03}" name="質問番号"/>
    <tableColumn id="14" xr3:uid="{29F43571-939C-45D3-8F31-660DF615D24A}" name="カテゴリー"/>
    <tableColumn id="4" xr3:uid="{3855A933-6288-4B55-A5ED-F370EA847EA2}" name="質問文"/>
    <tableColumn id="15" xr3:uid="{49501C0F-5068-401C-B694-133A72B057A6}" name="回答文"/>
    <tableColumn id="5" xr3:uid="{99526A0E-D69A-41D1-B62F-1E6FBC99F366}" name="正確性"/>
    <tableColumn id="6" xr3:uid="{1D550DDB-46F1-4228-895F-882996710318}" name="網羅性"/>
    <tableColumn id="7" xr3:uid="{0C8AC84A-CF64-4CDB-A83B-F876E0EA939D}" name="具体性"/>
    <tableColumn id="8" xr3:uid="{83E07341-40EC-41B1-8034-7C18E1EA5E2B}" name="初心者適合"/>
    <tableColumn id="9" xr3:uid="{DC12C29A-832F-4215-815D-EE6204DAF29F}" name="安全性・倫理"/>
    <tableColumn id="16" xr3:uid="{9DD3E23B-6EA6-42E1-AC98-38E0B4FDC687}" name="情報開示適切性"/>
    <tableColumn id="10" xr3:uid="{89F71A0A-A575-4842-BD16-2D349DDD56A8}" name="小計" dataDxfId="3">
      <calculatedColumnFormula>SUM(テーブル116[[#This Row],[正確性]:[情報開示適切性]])</calculatedColumnFormula>
    </tableColumn>
    <tableColumn id="17" xr3:uid="{A4100B21-BB49-4F39-B6BA-726766548AC1}" name="平均" dataDxfId="2">
      <calculatedColumnFormula>AVERAGE(テーブル116[[#This Row],[正確性]:[情報開示適切性]])</calculatedColumnFormula>
    </tableColumn>
    <tableColumn id="13" xr3:uid="{F065562E-8CEC-4B06-B62F-7897AA18F793}" name="コメント"/>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82CE72-BA01-41E9-A49F-F761D8825C19}" name="テーブル117" displayName="テーブル117" ref="A59:O84" totalsRowShown="0">
  <autoFilter ref="A59:O84" xr:uid="{8082CE72-BA01-41E9-A49F-F761D8825C19}"/>
  <tableColumns count="15">
    <tableColumn id="1" xr3:uid="{AE9FBA6C-4E80-48EA-8EF4-84E4C127C75B}" name="チャンク数"/>
    <tableColumn id="2" xr3:uid="{1E267F30-D750-4497-A70B-264B9FDD5135}" name="オーバーラップ"/>
    <tableColumn id="3" xr3:uid="{A49CC015-3205-43E9-B093-F799147DA616}" name="質問番号"/>
    <tableColumn id="14" xr3:uid="{469ABDA6-DBA3-44D1-9F0F-84FC816FF643}" name="カテゴリー"/>
    <tableColumn id="4" xr3:uid="{96078D3E-C38E-4709-977D-0046A055137A}" name="質問文"/>
    <tableColumn id="15" xr3:uid="{CF82F3CF-42CA-44DF-8D9B-27DDF9395F69}" name="回答文"/>
    <tableColumn id="5" xr3:uid="{52185C41-5792-4782-AB55-04DB51DD3390}" name="正確性"/>
    <tableColumn id="6" xr3:uid="{E1348C4B-6C2A-420C-86EB-D85FB11F7D45}" name="網羅性"/>
    <tableColumn id="7" xr3:uid="{D7398FB7-10D9-4461-9AA0-79E2052B9769}" name="具体性"/>
    <tableColumn id="8" xr3:uid="{4FC0B2E1-9D39-4C4E-9719-7F31A47D5974}" name="初心者適合"/>
    <tableColumn id="9" xr3:uid="{A378415F-66CA-4FE2-9C48-4ACC3D438058}" name="安全性・倫理"/>
    <tableColumn id="16" xr3:uid="{589604B9-E897-4D44-8E35-D48860F6BFC9}" name="情報開示適切性"/>
    <tableColumn id="10" xr3:uid="{191BE1A6-F810-4892-8195-D8155730CE1F}" name="小計" dataDxfId="1">
      <calculatedColumnFormula>SUM(テーブル117[[#This Row],[正確性]:[情報開示適切性]])</calculatedColumnFormula>
    </tableColumn>
    <tableColumn id="17" xr3:uid="{E59E9CBB-244D-4455-AB65-BC3DF0252B49}" name="平均" dataDxfId="0">
      <calculatedColumnFormula>AVERAGE(テーブル117[[#This Row],[正確性]:[情報開示適切性]])</calculatedColumnFormula>
    </tableColumn>
    <tableColumn id="13" xr3:uid="{9CD6465D-9F3B-4CEE-AF94-5778B325992A}" name="コメント"/>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6-04-09T07:09:26.24" personId="{4C973BD8-4987-43D4-9282-C0C6467F9792}" id="{1D68CC64-4DCC-404E-A590-A263D42ADF0B}">
    <text>OSINTの説明自体は概ね正しいが、「オープン・ソーシャル・インフォマティクス」は誤り（正しくは Open Source Intelligence）
CTF文脈としてはややズレ（「データベース構成を知る」などはOSINTというより他カテゴリ寄り）</text>
  </threadedComment>
  <threadedComment ref="H2" dT="2026-04-09T07:09:52.91" personId="{4C973BD8-4987-43D4-9282-C0C6467F9792}" id="{DC3DE196-BE20-4FA8-80F2-317AC55398A8}">
    <text>OSINTの基本概念は説明されているが、CTFでよく問われる具体的な対象（画像解析、位置特定、メタデータなど）が不足
問いに対してやや抽象的で、典型問題の幅が足りない</text>
  </threadedComment>
  <threadedComment ref="I2" dT="2026-04-09T07:10:33.25" personId="{4C973BD8-4987-43D4-9282-C0C6467F9792}" id="{52DECB54-A34E-4328-8D9A-018039B7CEC9}">
    <text>ツール名（Google検索、WHOIS、ExifToolなど）や具体的手順がない
「調べる」「分析する」に留まり、実際の行動レベルの説明が不足</text>
  </threadedComment>
  <threadedComment ref="J2" dT="2026-04-09T07:10:46.98" personId="{4C973BD8-4987-43D4-9282-C0C6467F9792}" id="{181A8B0F-6D88-44AD-9590-ACCDE1B8C599}">
    <text>平易ではあるが、内容が抽象的で「何をすればいいか」が分かりにくい
具体例が弱く、初心者がイメージしにくい</text>
  </threadedComment>
  <threadedComment ref="K2" dT="2026-04-09T07:11:53.59" personId="{4C973BD8-4987-43D4-9282-C0C6467F9792}" id="{EABD9367-EE16-40B3-886E-497C6177D0FC}">
    <text>プライバシーや情報の信頼性への言及があり適切</text>
  </threadedComment>
  <threadedComment ref="L2" dT="2026-04-09T07:11:58.05" personId="{4C973BD8-4987-43D4-9282-C0C6467F9792}" id="{26FCEE8A-AD96-4265-99C8-7F4A747D9076}">
    <text>教えすぎではないが、逆にヒントとしても弱い（実践的な導きが不足）</text>
  </threadedComment>
  <threadedComment ref="G3" dT="2026-04-09T07:40:19.33" personId="{4C973BD8-4987-43D4-9282-C0C6467F9792}" id="{98235AD7-A569-4E6E-9797-B260C4492310}">
    <text>EXIF解析・リバース画像検索・OCRなど基本的なOSINT手法は正しい
ただし「画像の分析」「比較」などがやや曖昧で、OSINT文脈としては粒度が粗い
初動として重要な「目視観察（看板・言語・影・天候）」などが欠けている</text>
  </threadedComment>
  <threadedComment ref="H3" dT="2026-04-09T07:40:30.43" personId="{4C973BD8-4987-43D4-9282-C0C6467F9792}" id="{F6204486-2C47-4F6F-994C-B70740653565}">
    <text>5ステップにはなっているが、内容が重複気味（分析が2回出てくる）
OSINT初動として重要な以下が不足：
地理的手がかりの抽出
時系列推定（影・季節）
SNS・文脈調査
→「形式は満たすが中身が不足」</text>
  </threadedComment>
  <threadedComment ref="I3" dT="2026-04-09T07:40:44.38" personId="{4C973BD8-4987-43D4-9282-C0C6467F9792}" id="{761837CB-7C7A-43D6-AB29-9FABDDAAA89B}">
    <text>exiftool, tesseract-ocr, OpenCV など具体ツールが提示されている点は良い
ただし「どう使うか」の手順が弱い（コマンド例などがない）</text>
  </threadedComment>
  <threadedComment ref="J3" dT="2026-04-09T07:40:59.70" personId="{4C973BD8-4987-43D4-9282-C0C6467F9792}" id="{98BF9756-5004-4C2E-BAB4-1587A0A7D2F3}">
    <text>ツール名は出ているが説明が不十分
OCRの説明が崩れている（“オプティカル・チャラcter・レコGNITION”）
初心者には「何を見ればいいか」が分かりにくい</text>
  </threadedComment>
  <threadedComment ref="K3" dT="2026-04-09T07:41:14.28" personId="{4C973BD8-4987-43D4-9282-C0C6467F9792}" id="{8EE7A7E8-AC0A-4225-9E2B-50085A1529C1}">
    <text>特に危険な内容はない
ただし「OSINTの適切な利用」やプライバシー配慮の言及なし</text>
  </threadedComment>
  <threadedComment ref="L3" dT="2026-04-09T07:41:27.96" personId="{4C973BD8-4987-43D4-9282-C0C6467F9792}" id="{F30E42C9-7A7E-461F-89E6-52E94478D161}">
    <text>過度に踏み込みすぎず、CTF用途としては適度
ただしヒントとしては少し抽象的すぎる側面あり</text>
  </threadedComment>
  <threadedComment ref="G4" dT="2026-04-09T07:47:10.18" personId="{4C973BD8-4987-43D4-9282-C0C6467F9792}" id="{ED6B4B59-7BDA-4261-9A74-21E89336039D}">
    <text>ExifToolやImageMagickの言及は一部正しい（メタ情報確認は可能）
しかし以下が問題：
「画像ファイルのハッキング」という表現は不適切かつ曖昧
「Light Field Photographyでデータ回収」は文脈的に不正確
「EXIF削除でもメタ情報を調べる」はやや誤解を招く（残っていない場合も多い）</text>
  </threadedComment>
  <threadedComment ref="H4" dT="2026-04-09T07:47:26.55" personId="{4C973BD8-4987-43D4-9282-C0C6467F9792}" id="{F874FB31-9C96-408B-8534-1E8BA803C7D3}">
    <text>本来この問いで期待される代表例：
逆画像検索
画像内容の目視分析（看板・地形など）
ファイル構造/ステガノグラフィ解析
提示内容は：
ツール系に偏り
OSINT的な基本手法（逆画像検索など）が欠落</text>
  </threadedComment>
  <threadedComment ref="I4" dT="2026-04-09T07:47:39.06" personId="{4C973BD8-4987-43D4-9282-C0C6467F9792}" id="{48151517-F285-4B34-AE1A-40CE992B5646}">
    <text>ツール名は出ているが、
どう使うか（コマンド例など）がない
調査の流れが不明確
「オプティカルフォレンス」など抽象的</text>
  </threadedComment>
  <threadedComment ref="J4" dT="2026-04-09T07:47:51.88" personId="{4C973BD8-4987-43D4-9282-C0C6467F9792}" id="{70B8A51C-0D20-4D1A-B33E-19C6DFFD7F79}">
    <text>「ハッキング」「オプティカルフォレンス」など
→ 初心者には分かりにくい・誤解を招く
用語説明が不足</text>
  </threadedComment>
  <threadedComment ref="K4" dT="2026-04-09T07:48:06.33" personId="{4C973BD8-4987-43D4-9282-C0C6467F9792}" id="{1C016E10-C59F-4EB2-AC7C-DDA8888E40BB}">
    <text>「ハッキング」という表現は不適切
ただし危険な手順までは踏み込んでいない</text>
  </threadedComment>
  <threadedComment ref="L4" dT="2026-04-09T07:48:17.16" personId="{4C973BD8-4987-43D4-9282-C0C6467F9792}" id="{578DA281-B6C1-41D5-9983-9F28992D739B}">
    <text>直接的な「答え」ではなく方向性提示に留まっている
CTF文脈としては適切なヒントレベル</text>
  </threadedComment>
  <threadedComment ref="G5" dT="2026-04-09T07:58:14.19" personId="{4C973BD8-4987-43D4-9282-C0C6467F9792}" id="{7EB1270A-C69D-45A3-8A54-8C7F25450903}">
    <text>質問は「usernameからのOSINT検索クエリ例」なのに対し、
回答はIDORや認証バイパスのようなWeb攻撃手法になっている
完全に文脈（OSINT）から逸脱している</text>
  </threadedComment>
  <threadedComment ref="H5" dT="2026-04-09T07:58:30.95" personId="{4C973BD8-4987-43D4-9282-C0C6467F9792}" id="{47F88939-7236-4B25-AA13-E078348037D4}">
    <text>「検索クエリ例」が1つも出ていない
本来期待される内容：
username site:twitter.com
"username" email
など
要求（検索クエリ5つ）を全く満たしていない</text>
  </threadedComment>
  <threadedComment ref="I5" dT="2026-04-09T07:58:51.74" personId="{4C973BD8-4987-43D4-9282-C0C6467F9792}" id="{6DFA5203-E84C-4F10-B2A2-AD0E4E981EC8}">
    <text>一応「パラメータ例」はあるが、
求められている「検索クエリ」ではない</text>
  </threadedComment>
  <threadedComment ref="J5" dT="2026-04-09T07:59:05.14" personId="{4C973BD8-4987-43D4-9282-C0C6467F9792}" id="{ACEA0D26-448A-4834-BED1-DDDF093D4440}">
    <text>初心者は確実に混乱する
OSINTの質問に対して攻撃手法を提示しているため危険</text>
  </threadedComment>
  <threadedComment ref="K5" dT="2026-04-09T07:59:15.89" personId="{4C973BD8-4987-43D4-9282-C0C6467F9792}" id="{6FBD0B56-C1E9-4619-8F07-D660A5068946}">
    <text>認証回避・ID操作などの不正アクセスに直結する内容
注意書きはあるが不十分</text>
  </threadedComment>
  <threadedComment ref="L5" dT="2026-04-09T07:59:22.89" personId="{4C973BD8-4987-43D4-9282-C0C6467F9792}" id="{26ACB65A-CD4B-4A5B-97ED-EED27ABA0159}">
    <text>そもそも質問に対する適切な情報を出していない
ヒントどころか別ジャンルの危険な内容</text>
  </threadedComment>
  <threadedComment ref="G6" dT="2026-04-09T08:02:57.82" personId="{4C973BD8-4987-43D4-9282-C0C6467F9792}" id="{2B53837B-7032-4E0D-8CB2-5564F042E5A5}">
    <text>「OSINT＝オープン・ソーシャル・インフォマティクス」は誤りで、正しくはOpen Source Intelligence。
ただし、チェックポイント自体（出典・時期・信頼性など）は概ね妥当。</text>
  </threadedComment>
  <threadedComment ref="H6" dT="2026-04-09T08:03:12.39" personId="{4C973BD8-4987-43D4-9282-C0C6467F9792}" id="{3C9DBCE2-469F-42AD-85FC-B5ADE06BA234}">
    <text>基本的な観点は押さえているが、OSINTで重要な以下が抜けている：
クロスチェック（複数ソース比較）
一次情報 vs 二次情報の区別
改ざん・フェイク検出（画像・動画）
発信者の意図やバイアス分析</text>
  </threadedComment>
  <threadedComment ref="I6" dT="2026-04-09T08:03:24.57" personId="{4C973BD8-4987-43D4-9282-C0C6467F9792}" id="{46BC91B8-DE47-457E-85A1-4ADCDA695043}">
    <text>「検証ツールを使う」とあるが具体例がない
例えば以下があると良い：
site:検索やGoogle検索演算子
画像の逆検索（Google Images / TinEye）
whois や nslookup
Wayback Machineで過去比較</text>
  </threadedComment>
  <threadedComment ref="J6" dT="2026-04-09T08:03:35.46" personId="{4C973BD8-4987-43D4-9282-C0C6467F9792}" id="{E40C3E9F-B23C-41CC-B8F6-608EEF1F1B27}">
    <text>箇条書きで分かりやすく、難しい用語も少ない
初心者には理解しやすい構成</text>
  </threadedComment>
  <threadedComment ref="K6" dT="2026-04-09T08:03:44.01" personId="{4C973BD8-4987-43D4-9282-C0C6467F9792}" id="{E0458F03-30F3-413E-8B64-442D1254EA2A}">
    <text>攻撃的・不正な内容は含まれていない
検証という健全な用途に限定されている</text>
  </threadedComment>
  <threadedComment ref="L6" dT="2026-04-09T08:03:52.15" personId="{4C973BD8-4987-43D4-9282-C0C6467F9792}" id="{1D3DB137-B96A-4C45-8812-6D501E068956}">
    <text>ヒントレベルで適切
過度に詳細すぎず、CTFとしても良いバランス</text>
  </threadedComment>
  <threadedComment ref="G7" dT="2026-04-10T03:31:23.34" personId="{4C973BD8-4987-43D4-9282-C0C6467F9792}" id="{6A02761B-91E9-4057-AB58-CA8F91A89B31}">
    <text>「暗号化＝データを読み取れるようにする」
→ 完全に逆
正しくは「第三者に読めなくする」
Base64を暗号化として扱っている
→ エンコードであり暗号ではない</text>
  </threadedComment>
  <threadedComment ref="H7" dT="2026-04-10T03:31:44.45" personId="{4C973BD8-4987-43D4-9282-C0C6467F9792}" id="{4822F4EC-0ABE-4EB1-A843-D6969D0914EB}">
    <text>本来あるべき内容：
暗号化 → 復号（鍵あり）
ハッシュ → クラック（辞書攻撃 / レインボーテーブル）
判別方法（長さ・形式・アルゴリズム）</text>
  </threadedComment>
  <threadedComment ref="I7" dT="2026-04-10T03:32:01.56" personId="{4C973BD8-4987-43D4-9282-C0C6467F9792}" id="{42A47CF3-8B72-4846-9675-719687E275CD}">
    <text>ツール例なし
CyberChef
hashcat
手順なし
「どう解くか」が曖昧</text>
  </threadedComment>
  <threadedComment ref="G8" dT="2026-04-10T03:26:25.72" personId="{4C973BD8-4987-43D4-9282-C0C6467F9792}" id="{FD550640-A6C4-49C6-A0A9-21F46537DF90}">
    <text>Caesar暗号の説明に誤りあり
「AがBに置き換わる」→シフト3なら本来「A→D」
復号説明も不正確
「A→Cにすることで復元」など意味が崩れている
Vigenereの説明は概ね方向性は合っているが、説明が曖昧</text>
  </threadedComment>
  <threadedComment ref="H8" dT="2026-04-10T03:26:37.44" personId="{4C973BD8-4987-43D4-9282-C0C6467F9792}" id="{603B9597-CE74-4D6E-B138-02BD5C0DBC63}">
    <text>「解読の観点」という問いに対して重要な以下が不足
Caesar：総当たり（26通り）
Caesar：頻度分析
Vigenere：カシスキーテスト
Vigenere：インデックス・オブ・コインシデンス（IC）
「難しさの違い」も浅い</text>
  </threadedComment>
  <threadedComment ref="I8" dT="2026-04-10T03:26:52.06" personId="{4C973BD8-4987-43D4-9282-C0C6467F9792}" id="{92204DAB-E257-44DE-B5B4-34C0E3047970}">
    <text>手法・ツール・手順が一切出ていない
「どうやって解くか」が書かれていない</text>
  </threadedComment>
  <threadedComment ref="J8" dT="2026-04-10T03:27:04.99" personId="{4C973BD8-4987-43D4-9282-C0C6467F9792}" id="{665485B8-6848-449C-A2B7-432416683B7E}">
    <text>文章自体は簡単だが
誤った例が混乱を招く
解読の流れが見えない</text>
  </threadedComment>
  <threadedComment ref="K8" dT="2026-04-10T03:27:14.72" personId="{4C973BD8-4987-43D4-9282-C0C6467F9792}" id="{7E81E65D-66FA-4FEA-A808-81D773378AF3}">
    <text>問題なし（教育的内容）</text>
  </threadedComment>
  <threadedComment ref="L8" dT="2026-04-10T03:27:24.56" personId="{4C973BD8-4987-43D4-9282-C0C6467F9792}" id="{45403371-81CD-419D-9AEC-AEE0982D4BFA}">
    <text>逆に情報が少なすぎてヒント不足
CTFとしては「解き方の方向性」が欲しい</text>
  </threadedComment>
  <threadedComment ref="G9" dT="2026-04-10T03:36:23.56" personId="{4C973BD8-4987-43D4-9282-C0C6467F9792}" id="{AC636D4D-26F4-42B4-954D-B776CC73EC2F}">
    <text>「Base64は暗号ではない」という点は正しい
ただし
「パラメータを使って暗号化する」などの記述は誤解を招く（Base64自体に暗号化機能はない）
Base64単体で暗号化するかのような説明が一部含まれている
👉 一部不正確・ミスリードあり</text>
  </threadedComment>
  <threadedComment ref="H9" dT="2026-04-10T03:36:34.34" personId="{4C973BD8-4987-43D4-9282-C0C6467F9792}" id="{A24ED666-A1C0-48E4-8EE8-C9600AB72C49}">
    <text>基本説明はあるが不足あり
「可逆（誰でもデコードできる）」の明示がない
「なぜCTFでよく出るか」の説明がない
「暗号との違い（鍵の有無）」が弱い</text>
  </threadedComment>
  <threadedComment ref="I9" dT="2026-04-10T03:36:45.10" personId="{4C973BD8-4987-43D4-9282-C0C6467F9792}" id="{F8B133B0-4EAB-472D-BC37-52D4886E6800}">
    <text>具体例がない
例：SGVsbG8= → Hello など
コマンド例（base64 / CyberChef）なし</text>
  </threadedComment>
  <threadedComment ref="J9" dT="2026-04-10T03:36:53.80" personId="{4C973BD8-4987-43D4-9282-C0C6467F9792}" id="{5F4E06FC-C0B5-4535-B8AC-5A52F7C7B478}">
    <text>全体的に読めるが
「パラメータ」など不要に抽象的
誤解を強める説明あり</text>
  </threadedComment>
  <threadedComment ref="G10" dT="2026-04-10T03:45:17.86" personId="{4C973BD8-4987-43D4-9282-C0C6467F9792}" id="{35C1616B-B05A-4D86-BC68-61A74B1FC9D0}">
    <text>「公開鍵に p と q が含まれる」は 誤り
→ 公開鍵は (n, e) のみで、p・qは秘密にする必要あり
「e は p-1 と q-1 の両方で割り切れる」も 誤り
→ 正しくは φ(n) と互いに素（gcd(e, φ(n)) = 1）
「RSAは計算機上で解法は可能ではない」は 言い過ぎ（誤解を招く）
→ 正しくは「現実的な時間では困難」</text>
  </threadedComment>
  <threadedComment ref="J10" dT="2026-04-10T03:45:34.92" personId="{4C973BD8-4987-43D4-9282-C0C6467F9792}" id="{E39B0E98-48CA-40A0-A39A-517D031D1688}">
    <text>「mod」「逆数」などの説明がなく、数学苦手向けとしてはやや不親切
「e が割り切れる」など誤った説明で混乱の可能性あり</text>
  </threadedComment>
  <threadedComment ref="G11" dT="2026-04-10T03:47:37.41" personId="{4C973BD8-4987-43D4-9282-C0C6467F9792}" id="{520F547E-43A2-41F5-ABE0-57AE4AD8D111}">
    <text>「鍵長が短い → 総当たりで解ける」は正しい
ただし問題点あり：
Dictionary Attack / Rainbow Tableは「鍵長」と直接関係が薄い（主にパスワード・ハッシュの話）
「鍵長が短い＝計算量が小さい」という本質（2^nの探索空間）が説明されていない</text>
  </threadedComment>
  <threadedComment ref="H11" dT="2026-04-10T03:48:13.20" personId="{4C973BD8-4987-43D4-9282-C0C6467F9792}" id="{E0370E33-1BA6-41FA-945F-CB4323B0B4C0}">
    <text>「総当たり攻撃」は触れているが、それだけに近い
本来あると良い要素：
鍵長と計算量の関係（例：2^56 vs 2^128）
実際の例（DESが破られた理由など）
共通鍵 / 公開鍵での違い</text>
  </threadedComment>
  <threadedComment ref="I11" dT="2026-04-10T03:48:23.33" personId="{4C973BD8-4987-43D4-9282-C0C6467F9792}" id="{F58D676F-B80B-4F9E-BDFF-5D102C68FF83}">
    <text>手法の名前はあるが具体例が弱い
例えば：
「56bitなら約7×10^16通り」
「DESは専用機で数日で破られた」
などがあると良い</text>
  </threadedComment>
  <threadedComment ref="J11" dT="2026-04-10T03:48:32.53" personId="{4C973BD8-4987-43D4-9282-C0C6467F9792}" id="{62486016-0328-42CC-8DE2-E4E273D5C992}">
    <text>用語の説明は最低限あるが、
「なぜ短いと危険か（試行回数の爆発）」が直感的でない
「鍵長＝桁数」などの噛み砕きが欲しい</text>
  </threadedComment>
  <threadedComment ref="L11" dT="2026-04-10T03:48:48.55" personId="{4C973BD8-4987-43D4-9282-C0C6467F9792}" id="{F1AC1A95-008B-4C05-8023-B80A88468872}">
    <text>やや「一般論すぎてヒントとして弱い」
CTF的には：
「短い＝総当たりを疑う」
「ビット数を見る」
などの方向性が欲しい</text>
  </threadedComment>
  <threadedComment ref="G12" dT="2026-04-10T03:56:00.29" personId="{4C973BD8-4987-43D4-9282-C0C6467F9792}" id="{15581633-A299-47A8-BA60-A4774FF4F711}">
    <text>メモリダンプの目的について大枠は正しい（原因調査・セキュリティ調査など）
ただし CTF/forensics文脈として重要な観点（「揮発性情報の取得」）が抜けている
また「メモリダンプ＝システム停止時」という説明は不正確（ライブ取得もある）</text>
  </threadedComment>
  <threadedComment ref="H12" dT="2026-04-10T03:56:13.51" personId="{4C973BD8-4987-43D4-9282-C0C6467F9792}" id="{264B1199-1901-474C-8C0D-6DB97C47AC60}">
    <text>プロセスやデータなどは挙げているが、重要な項目が不足
不足している代表例：
ネットワーク接続情報
コマンド履歴
復号前データ（平文）
DLL / モジュール
レジストリ情報
認証情報（資格情報）</text>
  </threadedComment>
  <threadedComment ref="I12" dT="2026-04-10T03:56:25.73" personId="{4C973BD8-4987-43D4-9282-C0C6467F9792}" id="{FBFD39D7-2AAA-48FC-8584-F32A1FFA1588}">
    <text>抽象的説明が多い
具体的な解析例がない
不足点：
コマンド例（例：volatility pslist）
どのツールで何を取るか
CTFでどう使うか</text>
  </threadedComment>
  <threadedComment ref="L12" dT="2026-04-10T03:56:45.15" personId="{4C973BD8-4987-43D4-9282-C0C6467F9792}" id="{BCDD4C9C-B044-4AD5-A438-173F2D5F6308}">
    <text>抽象的すぎてヒント不足気味
CTF用途としてはもう少し具体性が必要</text>
  </threadedComment>
  <threadedComment ref="G13" dT="2026-04-10T04:03:01.79" personId="{4C973BD8-4987-43D4-9282-C0C6467F9792}" id="{C706633B-A227-4D99-AB8D-50784F717498}">
    <text>「ファイルシステムの種類」は適切で重要
しかし「ディスクサイズ」「コンテンツ」はやや抽象的で、フォレンジック初動として重要な観点（ハッシュ値・パーティション構造など）が抜けている
一部説明も重複しており厳密性に欠ける</text>
  </threadedComment>
  <threadedComment ref="H13" dT="2026-04-10T04:03:12.28" personId="{4C973BD8-4987-43D4-9282-C0C6467F9792}" id="{76C3498C-3814-46B0-961D-67269EF5F13F}">
    <text>問いは「最初に確認すべき3項目」だが、
→ 本来よく挙がる以下が欠落：
ハッシュ値（完全性確認）
パーティション構造
「コンテンツ」は広すぎて、初動チェックとしては不適切</text>
  </threadedComment>
  <threadedComment ref="I13" dT="2026-04-10T04:03:26.79" personId="{4C973BD8-4987-43D4-9282-C0C6467F9792}" id="{F5060411-EAF9-4079-ABCB-52FF9301E096}">
    <text>ツールや具体例がない（例：fdisk, mmls, sha256sumなど）
実際の解析手順がイメージできない
「確認すると理解できる」レベルに留まっている</text>
  </threadedComment>
  <threadedComment ref="J13" dT="2026-04-10T04:03:36.42" personId="{4C973BD8-4987-43D4-9282-C0C6467F9792}" id="{A0744676-5331-4532-96C8-7F8AA5AD0165}">
    <text>用語説明はあるが、
なぜそれが“最初”なのかの理由が弱い
「コンテンツ確認」は初心者に誤解を与える（いきなり中身を見るわけではない）</text>
  </threadedComment>
  <threadedComment ref="L13" dT="2026-04-10T04:03:48.96" personId="{4C973BD8-4987-43D4-9282-C0C6467F9792}" id="{A6EF39AB-571C-490B-838D-3E9473EB19E3}">
    <text>抽象的すぎてヒント不足寄り
逆にCTF用途としては「何を見ればいいか」が明確でない</text>
  </threadedComment>
  <threadedComment ref="G14" dT="2026-04-10T04:12:21.38" personId="{4C973BD8-4987-43D4-9282-C0C6467F9792}" id="{26B17829-B992-4A20-9AE6-1D7DF59BF909}">
    <text>StegsolveやExifToolなど基本ツールは正しい
ただし、
「ImageSteganographer」は一般的でない
Photoshop中心はCTF文脈ではややズレ
ステガノ特有の重要手法（LSB解析・strings・binwalk等）が不足</text>
  </threadedComment>
  <threadedComment ref="H14" dT="2026-04-10T04:12:43.69" personId="{4C973BD8-4987-43D4-9282-C0C6467F9792}" id="{667A12BB-D28E-4405-AE4D-7404D3BAF123}">
    <text>手順っぽく書かれているが、
初動（file / strings / binwalk）
フォーマット確認
ステガノ専用ツール（zsteg / steghide）
が抜けている
無関係な「報告・保存・再現」などで水増しされている
→ 本来必要な工程が不足</text>
  </threadedComment>
  <threadedComment ref="I14" dT="2026-04-10T04:12:53.47" personId="{4C973BD8-4987-43D4-9282-C0C6467F9792}" id="{4AD42E83-692D-414A-9621-F5731DD1F0A2}">
    <text>コマンド例が一切ない
「分析する」「確認する」など抽象的
実際に手を動かす手順になっていない
→ CTF用途としてはかなり弱い</text>
  </threadedComment>
  <threadedComment ref="J14" dT="2026-04-10T04:13:03.55" personId="{4C973BD8-4987-43D4-9282-C0C6467F9792}" id="{E97B0CDF-4EE2-48C5-AFF8-62AF72F26303}">
    <text>一応流れはあるが、
何をどう操作するか不明
ツールの使い方説明なし
→ 初心者は再現できない</text>
  </threadedComment>
  <threadedComment ref="L14" dT="2026-04-10T04:13:14.68" personId="{4C973BD8-4987-43D4-9282-C0C6467F9792}" id="{A9507290-7981-48FF-99F7-5C375D1C5BC0}">
    <text>逆に「教えなさすぎ」
ヒントにも手順にもなりきれていない</text>
  </threadedComment>
  <threadedComment ref="G15" dT="2026-04-10T04:16:50.82" personId="{4C973BD8-4987-43D4-9282-C0C6467F9792}" id="{A675364B-977F-4F82-931D-390805D96173}">
    <text>「タイムスタンプの重要性」など基本は正しい
しかし重要な観点（タイムゾーン差・ログ間の時刻ズレ・改ざん検知など）が欠落
「LOGファイルのみを使うべき」という記述は誤解を招く（実際は複数ソースを統合する）</text>
  </threadedComment>
  <threadedComment ref="H15" dT="2026-04-10T04:17:03.43" personId="{4C973BD8-4987-43D4-9282-C0C6467F9792}" id="{9F4CB706-EAAE-42EB-A8BD-EB00C7DD3930}">
    <text>本来必要な主要ポイント：
タイムゾーン・UTC変換
時刻同期（NTPズレ）
複数ログの突合
欠損・改ざんの考慮
フォーマット統一
→ これらがほぼ触れられていない</text>
  </threadedComment>
  <threadedComment ref="I15" dT="2026-04-10T04:17:16.34" personId="{4C973BD8-4987-43D4-9282-C0C6467F9792}" id="{729FF969-315B-469D-AB98-A8CFD6A56F18}">
    <text>grep / awk / sort の例はあるのは良い
ただし、
実際のログ解析用途としては浅い
timestamp検索など抽象的すぎる</text>
  </threadedComment>
  <threadedComment ref="J15" dT="2026-04-10T04:17:28.43" personId="{4C973BD8-4987-43D4-9282-C0C6467F9792}" id="{BA78B5D8-3245-4DC7-88AB-DDA2E1967B25}">
    <text>シンプルな説明で読みやすい
ただし
「整合性」などの用語説明なし
なぜ重要かの具体例が弱い</text>
  </threadedComment>
  <threadedComment ref="L15" dT="2026-04-10T04:17:39.61" personId="{4C973BD8-4987-43D4-9282-C0C6467F9792}" id="{E38F4823-6DA5-4976-A3F8-4FD6E8EB7DA5}">
    <text>ヒントとしてはやや弱すぎる
実践に使える深さが不足</text>
  </threadedComment>
  <threadedComment ref="G16" dT="2026-04-10T04:21:06.72" personId="{4C973BD8-4987-43D4-9282-C0C6467F9792}" id="{09C83216-E886-48ED-9372-28E3BD126544}">
    <text>「異常なデータ構造」「ファイルサイズの変化」などは一部正しい観点
しかし、フォレンジックで重要な「真正性の担保（ハッシュ値・ログの整合性・タイムスタンプ相関）」が欠落
「データが不自然に並んでいる場合、証拠は信頼できません」などは誤り（むしろ改ざんの兆候）</text>
  </threadedComment>
  <threadedComment ref="H16" dT="2026-04-10T04:21:16.40" personId="{4C973BD8-4987-43D4-9282-C0C6467F9792}" id="{09EAEF8A-E026-4D37-9115-634C660DA77B}">
    <text>本来必要な観点：
ハッシュ値比較（改ざん検知の基本）
タイムスタンプの矛盾（MAC timesなど）
ログ間の相関
メタデータの不整合
取得過程（チェーン・オブ・カストディ）
→ これらがほぼ欠けている</text>
  </threadedComment>
  <threadedComment ref="I16" dT="2026-04-10T04:21:26.80" personId="{4C973BD8-4987-43D4-9282-C0C6467F9792}" id="{A8B19D74-E5F4-4FC0-A08A-CA0C79243798}">
    <text>ツール名・コマンド・具体例がない
「データ分析ツール」など抽象的すぎる
例として欲しい内容：
sha256sum でのハッシュ比較
log2timeline や plaso
stat や exiftool での時刻確認</text>
  </threadedComment>
  <threadedComment ref="J16" dT="2026-04-10T04:21:36.95" personId="{4C973BD8-4987-43D4-9282-C0C6467F9792}" id="{16FBBFFE-FDB1-48AD-976F-D43CBA0F41C8}">
    <text>箇条書きで読みやすい点は良い
ただし「何をどう見ればいいか」が分からない</text>
  </threadedComment>
  <threadedComment ref="L16" dT="2026-04-10T04:21:54.68" personId="{4C973BD8-4987-43D4-9282-C0C6467F9792}" id="{F8709D55-2420-4711-B7C3-A78871E04485}">
    <text>抽象的すぎてヒント不足
実践に使えるレベルではない</text>
  </threadedComment>
  <threadedComment ref="G17" dT="2026-04-10T04:25:43.04" personId="{4C973BD8-4987-43D4-9282-C0C6467F9792}" id="{5B6B0A2C-7DCF-4A83-AA0F-03945F40207C}">
    <text>robots.txtやソース確認はCTF Webで実際に有効な手法
しかし
「robots.txtがサーバー設定に影響する」は誤り（単なるクローラ指示）
また「脆弱性チェック」というより“情報収集寄り”に偏っている</text>
  </threadedComment>
  <threadedComment ref="H17" dT="2026-04-10T04:25:54.59" personId="{4C973BD8-4987-43D4-9282-C0C6467F9792}" id="{0FE285F3-E4F8-42CC-B1D1-63C64B913F9E}">
    <text>本来優先度順で挙げるべき代表例：
入力値系（XSS / SQLi）
認証・認可
パラメータ改ざん
ディレクトリ探索
しかし回答は
robots.txt
コメント
開発者ツール
などに限定されている</text>
  </threadedComment>
  <threadedComment ref="I17" dT="2026-04-10T04:26:05.46" personId="{4C973BD8-4987-43D4-9282-C0C6467F9792}" id="{4EF4A3EE-2825-4E78-86DF-6D83D250B152}">
    <text>操作（Ctrl+Uなど）は書かれているが
CTF的に重要な
?id=1 → 2 の変更
Burp Suite
curl
などの具体的攻撃・検証手順がない</text>
  </threadedComment>
  <threadedComment ref="L17" dT="2026-04-10T04:26:15.46" personId="{4C973BD8-4987-43D4-9282-C0C6467F9792}" id="{65B5056A-5F5D-425D-A33B-9A32E301CEB0}">
    <text>ヒントとしてはやや浅すぎる
実戦に進むための導線が弱い</text>
  </threadedComment>
  <threadedComment ref="J18" dT="2026-04-10T04:28:55.67" personId="{4C973BD8-4987-43D4-9282-C0C6467F9792}" id="{1BD2F001-C867-4FD4-8869-776F596A52CD}">
    <text>概念説明はシンプルで良い
ただし以下が少し不親切：
「なぜ OR 1=1 で突破できるのか」の説明が弱い
Prepared Statements の仕組みがやや抽象的
→ 初心者には「なぜ起きるか」の補足が欲しい</text>
  </threadedComment>
  <threadedComment ref="I19" dT="2026-04-10T04:31:38.70" personId="{4C973BD8-4987-43D4-9282-C0C6467F9792}" id="{315A8B75-2FD3-4C1A-8946-B924D8287B1A}">
    <text>概念説明のみで、以下が不足：
典型的な攻撃フロー
実例（例：&lt;script&gt;alert(1)&lt;/script&gt;）
「どこで発生するか」の明確な比較表
手順・具体例がないため1点</text>
  </threadedComment>
  <threadedComment ref="J19" dT="2026-04-10T04:31:47.24" personId="{4C973BD8-4987-43D4-9282-C0C6467F9792}" id="{B2269C04-B9FE-43C3-BD31-226E337CD692}">
    <text>用語（User Agent、DOM Treeなど）の説明がない
英語混じりでやや読みづらい
もう少し噛み砕いた説明が欲しい</text>
  </threadedComment>
  <threadedComment ref="G20" dT="2026-04-10T04:34:46.66" personId="{4C973BD8-4987-43D4-9282-C0C6467F9792}" id="{3704F560-9A7C-4367-9D9E-35C9533B2222}">
    <text>SSRFの基本説明は概ね正しい
ただし「成立条件」がやや曖昧で、CTFや実務で重要な
外部入力がURLとして使われること
サーバーがそのURLへリクエストを実行すること
が明確に言語化されていない
「リソースの公開」は成立条件としては不適切（内部向けでも成立する）</text>
  </threadedComment>
  <threadedComment ref="H20" dT="2026-04-10T04:34:55.55" personId="{4C973BD8-4987-43D4-9282-C0C6467F9792}" id="{EC04AF73-1B66-4BD0-B98C-D6009595D425}">
    <text>防御策はいくつか挙げているが、重要なものが抜けている：
allowlist（許可リスト）
メタデータサービス（169.254.169.254）対策
DNSリバインディング対策
プロトコル制限（file://, gopher://など）
成立条件も3つだけで不十分</text>
  </threadedComment>
  <threadedComment ref="I20" dT="2026-04-10T04:35:11.32" personId="{4C973BD8-4987-43D4-9282-C0C6467F9792}" id="{D698A3F4-38BF-42A6-8665-E007721D4AC3}">
    <text>抽象的すぎる
例えば以下が無い：
実際の危険なコード例（例：fetch(user_input)）
攻撃例（http://169.254.169.254/...）
防御の具体実装（URLパース、IPチェックなど）</text>
  </threadedComment>
  <threadedComment ref="J20" dT="2026-04-10T04:35:36.18" personId="{4C973BD8-4987-43D4-9282-C0C6467F9792}" id="{A75C44B8-0AF5-4D75-93F1-DED179DE1C51}">
    <text>説明はシンプルで読みやすい
ただし
「内部リソース」の具体例がない
なぜ危険か（クラウドメタデータ等）が説明不足</text>
  </threadedComment>
  <threadedComment ref="G21" dT="2026-04-10T04:38:58.72" personId="{4C973BD8-4987-43D4-9282-C0C6467F9792}" id="{C3BA5C48-2D11-4C41-84F0-6B09B9746132}">
    <text>「ソースを見る＝開発者コードを分析できる」という説明はややズレています
→ CTFではサーバーサイドコードは見えないのが基本
XSS・SQLiの説明も一般論で、“ソースを見る理由”としては不適切</text>
  </threadedComment>
  <threadedComment ref="H21" dT="2026-04-10T04:39:09.50" personId="{4C973BD8-4987-43D4-9282-C0C6467F9792}" id="{657263EA-7AB3-4E3D-A5BA-BB22EB2FA158}">
    <text>「なぜ有効か」という核心（CTF特有の理由）が弱い
具体的に見るべきものが不足
コメント
hiddenフィールド
JS処理
APIエンドポイント など</text>
  </threadedComment>
  <threadedComment ref="I21" dT="2026-04-10T04:39:30.20" personId="{4C973BD8-4987-43D4-9282-C0C6467F9792}" id="{F06B005B-122B-4AEB-A14B-B706017186A8}">
    <text>具体例が不適切 or 抽象的
XSS / SQLiは「ソースを見る理由」ではない
実際のCTFっぽい例がない</text>
  </threadedComment>
  <threadedComment ref="J21" dT="2026-04-10T04:39:40.03" personId="{4C973BD8-4987-43D4-9282-C0C6467F9792}" id="{91165F7B-4E63-4744-91C1-5A8D6A126AED}">
    <text>説明は読みやすいが、内容がズレているため理解しづらい
「何を見ればいいか」が分からない</text>
  </threadedComment>
  <threadedComment ref="L21" dT="2026-04-10T04:39:50.02" personId="{4C973BD8-4987-43D4-9282-C0C6467F9792}" id="{CE88A3DC-30A6-4428-BCCB-2CF5EC5D8C04}">
    <text>ヒントとしては弱く、逆に方向を誤らせる可能性あり
CTFとしては「ズレた誘導」</text>
  </threadedComment>
  <threadedComment ref="G22" dT="2026-04-10T04:42:31.08" personId="{4C973BD8-4987-43D4-9282-C0C6467F9792}" id="{3636C285-2588-41C1-AA35-5C29CEDC17D5}">
    <text>暗号とフォレンジックの大まかな違いは合っています。
ただし「フォレンジック方法が明らか」という表現はやや曖昧で、CTF的な判断基準（ファイル解析・メタデータ・バイナリなど）が弱いです。
「両方適用するケース」は正しいが、もう少し具体的な状況説明が欲しい。</text>
  </threadedComment>
  <threadedComment ref="H22" dT="2026-04-10T04:42:38.34" personId="{4C973BD8-4987-43D4-9282-C0C6467F9792}" id="{FFE9716D-536A-4414-92A4-9C1569E33D47}">
    <text>暗号とフォレンジックの特徴は挙げているが、
実際の“判断材料”（文字列の見た目、ファイル形式、配布物など）
初動で何を見るべきか
が不足しています。
「迷ったときの具体的なチェック手順」が足りない。</text>
  </threadedComment>
  <threadedComment ref="I22" dT="2026-04-10T04:42:45.87" personId="{4C973BD8-4987-43D4-9282-C0C6467F9792}" id="{109B7223-7E5D-4F04-98DC-9386C4A97D3C}">
    <text>ツール・コマンド・判断フローがほぼない
例えば以下が無い：
file, strings, binwalk
Base64判定（文字種）
エントロピー的な考え方
→ CTF解法としてはかなり抽象的</text>
  </threadedComment>
  <threadedComment ref="J22" dT="2026-04-10T04:42:53.69" personId="{4C973BD8-4987-43D4-9282-C0C6467F9792}" id="{34C6BC4B-95E5-4178-981C-FD92CBD9D0BA}">
    <text>シンプルで読みやすいが、逆に判断の軸が弱く「どうすればいいか」が分かりにくい
初心者はこれだけだと迷い続ける</text>
  </threadedComment>
  <threadedComment ref="L22" dT="2026-04-10T04:43:03.73" personId="{4C973BD8-4987-43D4-9282-C0C6467F9792}" id="{A9EB4A21-B283-4BEF-BD81-1EC02A99BCC3}">
    <text>抽象的すぎて「ヒント不足寄り」
もう少し実践的な判断基準は出してよい</text>
  </threadedComment>
  <threadedComment ref="H23" dT="2026-04-10T04:46:40.82" personId="{4C973BD8-4987-43D4-9282-C0C6467F9792}" id="{705B0D84-C3BC-42B3-98E3-855F2E59B776}">
    <text>一応ステップは多いが、
「観測→仮説分岐→検証→ログ取得→再現性確認」などCTF特有の流れが抜けている
仮説の“立て方（どこを見るか）”が弱い
→ 抽象的で、実戦的な観点が不足</text>
  </threadedComment>
  <threadedComment ref="I23" dT="2026-04-10T04:46:49.69" personId="{4C973BD8-4987-43D4-9282-C0C6467F9792}" id="{C68F3F57-B9D8-4168-88FB-8E80D84E77A1}">
    <text>ほぼ抽象論のみで、
コマンド例（strings, binwalk, curl など）
「こういう時はこう試す」という具体例
が一切ない
→ CTF用途としてはかなり弱い</text>
  </threadedComment>
  <threadedComment ref="J23" dT="2026-04-10T04:47:01.79" personId="{4C973BD8-4987-43D4-9282-C0C6467F9792}" id="{E5F8756B-4FFD-44A6-AD1E-DB5C690127AE}">
    <text>流れ自体はシンプルで理解はできるが、
「仮説とは何か」「どう立てるか」の補足なし
同じ内容の繰り返しが多く、逆に分かりづらい</text>
  </threadedComment>
  <threadedComment ref="G24" dT="2026-04-10T04:48:56.20" personId="{4C973BD8-4987-43D4-9282-C0C6467F9792}" id="{96C9A084-9805-463C-8608-BCFF8BB4E8EF}">
    <text>「パラメータの不正解」「パッケージの不正解」など、CTF特有の落とし穴として不適切・曖昧な内容が多い
/etc/passwd の例も文脈的に不自然（初心者のミスというより攻撃例）
SQL Injectionも「落とし穴」ではなく「脆弱性の説明」に寄っている</text>
  </threadedComment>
  <threadedComment ref="H24" dT="2026-04-10T04:49:04.61" personId="{4C973BD8-4987-43D4-9282-C0C6467F9792}" id="{210FEBCC-87BF-4C8A-BD67-EEDB21781C19}">
    <text>一応5個挙げているが、
本来よくある落とし穴（例：ソース未確認、思い込み、問題カテゴリ誤認など）が含まれていない
内容の質が低く、網羅性としては不十分</text>
  </threadedComment>
  <threadedComment ref="I24" dT="2026-04-10T04:49:12.98" personId="{4C973BD8-4987-43D4-9282-C0C6467F9792}" id="{BBC15E22-163F-4DBF-B946-9F89FF99FCF8}">
    <text>コマンド例（file -i など）はあるが、文脈とズレている
「どういう状況でハマるか」が具体的でない</text>
  </threadedComment>
  <threadedComment ref="J24" dT="2026-04-10T04:49:21.10" personId="{4C973BD8-4987-43D4-9282-C0C6467F9792}" id="{4CC7F989-41F6-4F4C-85E2-858393105063}">
    <text>一見やさしいが、内容がズレているため学習効果が低い
「なぜそれが落とし穴なのか」の説明が弱い</text>
  </threadedComment>
  <threadedComment ref="L24" dT="2026-04-10T04:49:29.38" personId="{4C973BD8-4987-43D4-9282-C0C6467F9792}" id="{83983066-9B32-4388-8F7E-CC9CC72A9FBE}">
    <text>ヒントとしても弱く、逆に誤解を招く可能性あり
教えすぎではないが「的外れ」</text>
  </threadedComment>
  <threadedComment ref="G25" dT="2026-04-10T04:52:42.93" personId="{4C973BD8-4987-43D4-9282-C0C6467F9792}" id="{1B0CF4B9-827A-4DD2-8B34-EC369757A927}">
    <text>一般的な問題解決プロセスとしては正しいが、CTF文脈に特化していない
「リソース再活用」など重複・曖昧な表現あり</text>
  </threadedComment>
  <threadedComment ref="H25" dT="2026-04-10T04:52:51.40" personId="{4C973BD8-4987-43D4-9282-C0C6467F9792}" id="{99BEC55D-FD17-4029-9AB6-C9CC4EE00164}">
    <text>一通りの行動はあるが、CTFで重要な具体的リカバリ（例：別カテゴリ検討、writeup確認など）が不足
「何をどう変えるか」が弱い</text>
  </threadedComment>
  <threadedComment ref="I25" dT="2026-04-10T04:52:58.58" personId="{4C973BD8-4987-43D4-9282-C0C6467F9792}" id="{1E23645D-E641-476F-ADC1-1FEE798316BA}">
    <text>実行可能とは言い難い（抽象的）
例：
×「ツールを試す」
○「strings / binwalk / burp / cyberchef を試す」などが必要
コマンド・手順・判断基準がない</text>
  </threadedComment>
  <threadedComment ref="J25" dT="2026-04-10T04:53:06.83" personId="{4C973BD8-4987-43D4-9282-C0C6467F9792}" id="{148F74C4-7800-4EF5-A187-AB37ADE62132}">
    <text>シンプルではあるが、
「次に何をすればいいか」が分からない → 初心者には不十分</text>
  </threadedComment>
  <threadedComment ref="G26" dT="2026-04-10T04:57:00.11" personId="{4C973BD8-4987-43D4-9282-C0C6467F9792}" id="{9862D426-2887-42EB-ABC6-36029C170F28}">
    <text>CTF学習メニューとしての方向性は大きく間違っていませんが、
「SPL」などCTF文脈で不自然な用語が混在
「フラグ作成と送信」など実態とズレた表現
があり、やや不正確です。</text>
  </threadedComment>
  <threadedComment ref="H26" dT="2026-04-10T04:57:09.16" personId="{4C973BD8-4987-43D4-9282-C0C6467F9792}" id="{3AD68584-6A8B-4424-A289-7C8C418555A6}">
    <text>「1週間」と言われているのに、
19日分まで存在する
重複・冗長な日程
で、要件を満たしていません。</text>
  </threadedComment>
  <threadedComment ref="I26" dT="2026-04-10T04:57:20.05" personId="{4C973BD8-4987-43D4-9282-C0C6467F9792}" id="{F354AF5E-7FD2-412D-AEEC-440DFE2CD4B7}">
    <text>[参考資料1] など具体性ゼロ
ツール・サイト・手順がない
→ 実行不能レベル</text>
  </threadedComment>
  <threadedComment ref="J26" dT="2026-04-10T04:57:27.21" personId="{4C973BD8-4987-43D4-9282-C0C6467F9792}" id="{D6FE9F67-3C9B-41D9-91D0-B89CDD19D7AB}">
    <text>学習順序が不自然（いきなり抽象的）
何をすればいいか不明
→ 初心者は動けない</text>
  </threadedComment>
  <threadedComment ref="L26" dT="2026-04-10T04:57:36.16" personId="{4C973BD8-4987-43D4-9282-C0C6467F9792}" id="{5FC1C408-9FD3-436E-AC8E-D31792467018}">
    <text>教えすぎではないが、逆にヒント不足
「適切な難易度のガイド」になっていない</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7" Type="http://schemas.microsoft.com/office/2017/10/relationships/threadedComment" Target="../threadedComments/threadedComment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4"/>
  <sheetViews>
    <sheetView tabSelected="1" topLeftCell="A11" zoomScaleNormal="100" workbookViewId="0">
      <selection activeCell="J15" sqref="J15"/>
    </sheetView>
  </sheetViews>
  <sheetFormatPr defaultRowHeight="18"/>
  <cols>
    <col min="1" max="1" width="12.09765625" customWidth="1"/>
    <col min="2" max="2" width="15.8984375" customWidth="1"/>
    <col min="3" max="4" width="10.19921875" customWidth="1"/>
    <col min="5" max="5" width="11.69921875" customWidth="1"/>
    <col min="6" max="6" width="23" customWidth="1"/>
    <col min="9" max="9" width="8.8984375" customWidth="1"/>
    <col min="10" max="10" width="12.59765625" customWidth="1"/>
    <col min="11" max="11" width="15.19921875" customWidth="1"/>
    <col min="12" max="12" width="16.19921875" customWidth="1"/>
    <col min="13" max="13" width="6.5" customWidth="1"/>
    <col min="14" max="14" width="7.09765625" customWidth="1"/>
    <col min="15" max="15" width="230.69921875" bestFit="1" customWidth="1"/>
  </cols>
  <sheetData>
    <row r="1" spans="1:15">
      <c r="A1" t="s">
        <v>0</v>
      </c>
      <c r="B1" t="s">
        <v>1</v>
      </c>
      <c r="C1" t="s">
        <v>2</v>
      </c>
      <c r="D1" t="s">
        <v>37</v>
      </c>
      <c r="E1" t="s">
        <v>3</v>
      </c>
      <c r="F1" t="s">
        <v>43</v>
      </c>
      <c r="G1" t="s">
        <v>4</v>
      </c>
      <c r="H1" t="s">
        <v>5</v>
      </c>
      <c r="I1" t="s">
        <v>6</v>
      </c>
      <c r="J1" t="s">
        <v>7</v>
      </c>
      <c r="K1" t="s">
        <v>8</v>
      </c>
      <c r="L1" t="s">
        <v>44</v>
      </c>
      <c r="M1" t="s">
        <v>9</v>
      </c>
      <c r="N1" t="s">
        <v>10</v>
      </c>
      <c r="O1" t="s">
        <v>46</v>
      </c>
    </row>
    <row r="2" spans="1:15">
      <c r="A2">
        <v>500</v>
      </c>
      <c r="B2">
        <v>50</v>
      </c>
      <c r="C2">
        <v>1</v>
      </c>
      <c r="D2" t="s">
        <v>38</v>
      </c>
      <c r="E2" t="s">
        <v>11</v>
      </c>
      <c r="F2" t="s">
        <v>48</v>
      </c>
      <c r="G2">
        <v>1</v>
      </c>
      <c r="H2">
        <v>1</v>
      </c>
      <c r="I2">
        <v>0</v>
      </c>
      <c r="J2">
        <v>1</v>
      </c>
      <c r="K2">
        <v>2</v>
      </c>
      <c r="L2">
        <v>1</v>
      </c>
      <c r="M2">
        <f>SUM(テーブル1[[#This Row],[正確性]:[情報開示適切性]])</f>
        <v>6</v>
      </c>
      <c r="N2">
        <f>AVERAGE(テーブル1[[#This Row],[正確性]:[情報開示適切性]])</f>
        <v>1</v>
      </c>
      <c r="O2" t="s">
        <v>47</v>
      </c>
    </row>
    <row r="3" spans="1:15">
      <c r="A3">
        <v>500</v>
      </c>
      <c r="B3">
        <v>50</v>
      </c>
      <c r="C3">
        <v>2</v>
      </c>
      <c r="D3" t="s">
        <v>38</v>
      </c>
      <c r="E3" t="s">
        <v>12</v>
      </c>
      <c r="G3">
        <v>1</v>
      </c>
      <c r="H3">
        <v>1</v>
      </c>
      <c r="I3">
        <v>2</v>
      </c>
      <c r="J3">
        <v>1</v>
      </c>
      <c r="K3">
        <v>1</v>
      </c>
      <c r="L3">
        <v>2</v>
      </c>
      <c r="M3">
        <f>SUM(テーブル1[[#This Row],[正確性]:[情報開示適切性]])</f>
        <v>8</v>
      </c>
      <c r="N3">
        <f>AVERAGE(テーブル1[[#This Row],[正確性]:[情報開示適切性]])</f>
        <v>1.3333333333333333</v>
      </c>
      <c r="O3" t="s">
        <v>55</v>
      </c>
    </row>
    <row r="4" spans="1:15">
      <c r="A4">
        <v>500</v>
      </c>
      <c r="B4">
        <v>50</v>
      </c>
      <c r="C4">
        <v>3</v>
      </c>
      <c r="D4" t="s">
        <v>38</v>
      </c>
      <c r="E4" t="s">
        <v>13</v>
      </c>
      <c r="F4" t="s">
        <v>49</v>
      </c>
      <c r="G4">
        <v>1</v>
      </c>
      <c r="H4">
        <v>1</v>
      </c>
      <c r="I4">
        <v>1</v>
      </c>
      <c r="J4">
        <v>1</v>
      </c>
      <c r="K4">
        <v>1</v>
      </c>
      <c r="L4">
        <v>2</v>
      </c>
      <c r="M4">
        <f>SUM(テーブル1[[#This Row],[正確性]:[情報開示適切性]])</f>
        <v>7</v>
      </c>
      <c r="N4">
        <f>AVERAGE(テーブル1[[#This Row],[正確性]:[情報開示適切性]])</f>
        <v>1.1666666666666667</v>
      </c>
      <c r="O4" t="s">
        <v>50</v>
      </c>
    </row>
    <row r="5" spans="1:15">
      <c r="A5">
        <v>500</v>
      </c>
      <c r="B5">
        <v>50</v>
      </c>
      <c r="C5">
        <v>4</v>
      </c>
      <c r="D5" t="s">
        <v>38</v>
      </c>
      <c r="E5" t="s">
        <v>14</v>
      </c>
      <c r="F5" s="2" t="s">
        <v>51</v>
      </c>
      <c r="G5">
        <v>0</v>
      </c>
      <c r="H5">
        <v>0</v>
      </c>
      <c r="I5">
        <v>1</v>
      </c>
      <c r="J5">
        <v>0</v>
      </c>
      <c r="K5">
        <v>0</v>
      </c>
      <c r="L5">
        <v>0</v>
      </c>
      <c r="M5">
        <f>SUM(テーブル1[[#This Row],[正確性]:[情報開示適切性]])</f>
        <v>1</v>
      </c>
      <c r="N5">
        <f>AVERAGE(テーブル1[[#This Row],[正確性]:[情報開示適切性]])</f>
        <v>0.16666666666666666</v>
      </c>
      <c r="O5" t="s">
        <v>52</v>
      </c>
    </row>
    <row r="6" spans="1:15">
      <c r="A6">
        <v>500</v>
      </c>
      <c r="B6">
        <v>50</v>
      </c>
      <c r="C6">
        <v>5</v>
      </c>
      <c r="D6" t="s">
        <v>38</v>
      </c>
      <c r="E6" t="s">
        <v>15</v>
      </c>
      <c r="F6" t="s">
        <v>53</v>
      </c>
      <c r="G6">
        <v>1</v>
      </c>
      <c r="H6">
        <v>1</v>
      </c>
      <c r="I6">
        <v>1</v>
      </c>
      <c r="J6">
        <v>2</v>
      </c>
      <c r="K6">
        <v>2</v>
      </c>
      <c r="L6">
        <v>2</v>
      </c>
      <c r="M6">
        <f>SUM(テーブル1[[#This Row],[正確性]:[情報開示適切性]])</f>
        <v>9</v>
      </c>
      <c r="N6">
        <f>AVERAGE(テーブル1[[#This Row],[正確性]:[情報開示適切性]])</f>
        <v>1.5</v>
      </c>
      <c r="O6" t="s">
        <v>54</v>
      </c>
    </row>
    <row r="7" spans="1:15">
      <c r="A7">
        <v>500</v>
      </c>
      <c r="B7">
        <v>50</v>
      </c>
      <c r="C7">
        <v>6</v>
      </c>
      <c r="D7" t="s">
        <v>40</v>
      </c>
      <c r="E7" t="s">
        <v>56</v>
      </c>
      <c r="F7" t="s">
        <v>57</v>
      </c>
      <c r="G7">
        <v>0</v>
      </c>
      <c r="H7">
        <v>1</v>
      </c>
      <c r="I7">
        <v>1</v>
      </c>
      <c r="J7">
        <v>1</v>
      </c>
      <c r="K7">
        <v>2</v>
      </c>
      <c r="L7">
        <v>1</v>
      </c>
      <c r="M7">
        <f>SUM(テーブル1[[#This Row],[正確性]:[情報開示適切性]])</f>
        <v>6</v>
      </c>
      <c r="N7">
        <f>AVERAGE(テーブル1[[#This Row],[正確性]:[情報開示適切性]])</f>
        <v>1</v>
      </c>
      <c r="O7" s="1" t="s">
        <v>60</v>
      </c>
    </row>
    <row r="8" spans="1:15">
      <c r="A8">
        <v>500</v>
      </c>
      <c r="B8">
        <v>50</v>
      </c>
      <c r="C8">
        <v>7</v>
      </c>
      <c r="D8" t="s">
        <v>40</v>
      </c>
      <c r="E8" t="s">
        <v>58</v>
      </c>
      <c r="G8">
        <v>1</v>
      </c>
      <c r="H8">
        <v>1</v>
      </c>
      <c r="I8">
        <v>0</v>
      </c>
      <c r="J8">
        <v>1</v>
      </c>
      <c r="K8">
        <v>2</v>
      </c>
      <c r="L8">
        <v>1</v>
      </c>
      <c r="M8">
        <f>SUM(テーブル1[[#This Row],[正確性]:[情報開示適切性]])</f>
        <v>6</v>
      </c>
      <c r="N8">
        <f>AVERAGE(テーブル1[[#This Row],[正確性]:[情報開示適切性]])</f>
        <v>1</v>
      </c>
      <c r="O8" t="s">
        <v>59</v>
      </c>
    </row>
    <row r="9" spans="1:15">
      <c r="A9">
        <v>500</v>
      </c>
      <c r="B9">
        <v>50</v>
      </c>
      <c r="C9">
        <v>8</v>
      </c>
      <c r="D9" t="s">
        <v>40</v>
      </c>
      <c r="E9" t="s">
        <v>18</v>
      </c>
      <c r="F9" t="s">
        <v>61</v>
      </c>
      <c r="G9">
        <v>1</v>
      </c>
      <c r="H9">
        <v>1</v>
      </c>
      <c r="I9">
        <v>0</v>
      </c>
      <c r="J9">
        <v>1</v>
      </c>
      <c r="K9">
        <v>2</v>
      </c>
      <c r="L9">
        <v>2</v>
      </c>
      <c r="M9">
        <f>SUM(テーブル1[[#This Row],[正確性]:[情報開示適切性]])</f>
        <v>7</v>
      </c>
      <c r="N9">
        <f>AVERAGE(テーブル1[[#This Row],[正確性]:[情報開示適切性]])</f>
        <v>1.1666666666666667</v>
      </c>
      <c r="O9" s="1" t="s">
        <v>62</v>
      </c>
    </row>
    <row r="10" spans="1:15">
      <c r="A10">
        <v>500</v>
      </c>
      <c r="B10">
        <v>50</v>
      </c>
      <c r="C10">
        <v>9</v>
      </c>
      <c r="D10" t="s">
        <v>40</v>
      </c>
      <c r="E10" t="s">
        <v>63</v>
      </c>
      <c r="F10" t="s">
        <v>64</v>
      </c>
      <c r="G10">
        <v>1</v>
      </c>
      <c r="H10">
        <v>2</v>
      </c>
      <c r="I10">
        <v>2</v>
      </c>
      <c r="J10">
        <v>1</v>
      </c>
      <c r="K10">
        <v>2</v>
      </c>
      <c r="L10">
        <v>2</v>
      </c>
      <c r="M10">
        <f>SUM(テーブル1[[#This Row],[正確性]:[情報開示適切性]])</f>
        <v>10</v>
      </c>
      <c r="N10">
        <f>AVERAGE(テーブル1[[#This Row],[正確性]:[情報開示適切性]])</f>
        <v>1.6666666666666667</v>
      </c>
      <c r="O10" t="s">
        <v>65</v>
      </c>
    </row>
    <row r="11" spans="1:15">
      <c r="A11">
        <v>500</v>
      </c>
      <c r="B11">
        <v>50</v>
      </c>
      <c r="C11">
        <v>10</v>
      </c>
      <c r="D11" t="s">
        <v>40</v>
      </c>
      <c r="E11" t="s">
        <v>66</v>
      </c>
      <c r="F11" t="s">
        <v>67</v>
      </c>
      <c r="G11">
        <v>1</v>
      </c>
      <c r="H11">
        <v>1</v>
      </c>
      <c r="I11">
        <v>1</v>
      </c>
      <c r="J11">
        <v>1</v>
      </c>
      <c r="K11">
        <v>2</v>
      </c>
      <c r="L11">
        <v>1</v>
      </c>
      <c r="M11">
        <f>SUM(テーブル1[[#This Row],[正確性]:[情報開示適切性]])</f>
        <v>7</v>
      </c>
      <c r="N11">
        <f>AVERAGE(テーブル1[[#This Row],[正確性]:[情報開示適切性]])</f>
        <v>1.1666666666666667</v>
      </c>
      <c r="O11" t="s">
        <v>68</v>
      </c>
    </row>
    <row r="12" spans="1:15">
      <c r="A12">
        <v>500</v>
      </c>
      <c r="B12">
        <v>50</v>
      </c>
      <c r="C12">
        <v>11</v>
      </c>
      <c r="D12" t="s">
        <v>39</v>
      </c>
      <c r="E12" t="s">
        <v>69</v>
      </c>
      <c r="F12" t="s">
        <v>70</v>
      </c>
      <c r="G12">
        <v>1</v>
      </c>
      <c r="H12">
        <v>1</v>
      </c>
      <c r="I12">
        <v>1</v>
      </c>
      <c r="J12">
        <v>2</v>
      </c>
      <c r="K12">
        <v>2</v>
      </c>
      <c r="L12">
        <v>1</v>
      </c>
      <c r="M12">
        <f>SUM(テーブル1[[#This Row],[正確性]:[情報開示適切性]])</f>
        <v>8</v>
      </c>
      <c r="N12">
        <f>AVERAGE(テーブル1[[#This Row],[正確性]:[情報開示適切性]])</f>
        <v>1.3333333333333333</v>
      </c>
      <c r="O12" t="s">
        <v>71</v>
      </c>
    </row>
    <row r="13" spans="1:15">
      <c r="A13">
        <v>500</v>
      </c>
      <c r="B13">
        <v>50</v>
      </c>
      <c r="C13">
        <v>12</v>
      </c>
      <c r="D13" t="s">
        <v>39</v>
      </c>
      <c r="E13" t="s">
        <v>72</v>
      </c>
      <c r="F13" t="s">
        <v>73</v>
      </c>
      <c r="G13">
        <v>1</v>
      </c>
      <c r="H13">
        <v>1</v>
      </c>
      <c r="I13">
        <v>0</v>
      </c>
      <c r="J13">
        <v>1</v>
      </c>
      <c r="K13">
        <v>2</v>
      </c>
      <c r="L13">
        <v>1</v>
      </c>
      <c r="M13">
        <f>SUM(テーブル1[[#This Row],[正確性]:[情報開示適切性]])</f>
        <v>6</v>
      </c>
      <c r="N13">
        <f>AVERAGE(テーブル1[[#This Row],[正確性]:[情報開示適切性]])</f>
        <v>1</v>
      </c>
      <c r="O13" t="s">
        <v>74</v>
      </c>
    </row>
    <row r="14" spans="1:15">
      <c r="A14">
        <v>500</v>
      </c>
      <c r="B14">
        <v>50</v>
      </c>
      <c r="C14">
        <v>13</v>
      </c>
      <c r="D14" t="s">
        <v>39</v>
      </c>
      <c r="E14" t="s">
        <v>75</v>
      </c>
      <c r="F14" t="s">
        <v>76</v>
      </c>
      <c r="G14">
        <v>1</v>
      </c>
      <c r="H14">
        <v>1</v>
      </c>
      <c r="I14">
        <v>0</v>
      </c>
      <c r="J14">
        <v>1</v>
      </c>
      <c r="K14">
        <v>2</v>
      </c>
      <c r="L14">
        <v>1</v>
      </c>
      <c r="M14">
        <f>SUM(テーブル1[[#This Row],[正確性]:[情報開示適切性]])</f>
        <v>6</v>
      </c>
      <c r="N14">
        <f>AVERAGE(テーブル1[[#This Row],[正確性]:[情報開示適切性]])</f>
        <v>1</v>
      </c>
      <c r="O14" t="s">
        <v>77</v>
      </c>
    </row>
    <row r="15" spans="1:15">
      <c r="A15">
        <v>500</v>
      </c>
      <c r="B15">
        <v>50</v>
      </c>
      <c r="C15">
        <v>14</v>
      </c>
      <c r="D15" t="s">
        <v>39</v>
      </c>
      <c r="E15" t="s">
        <v>78</v>
      </c>
      <c r="F15" t="s">
        <v>79</v>
      </c>
      <c r="G15">
        <v>1</v>
      </c>
      <c r="H15">
        <v>1</v>
      </c>
      <c r="I15">
        <v>1</v>
      </c>
      <c r="J15">
        <v>1</v>
      </c>
      <c r="K15">
        <v>2</v>
      </c>
      <c r="L15">
        <v>1</v>
      </c>
      <c r="M15">
        <f>SUM(テーブル1[[#This Row],[正確性]:[情報開示適切性]])</f>
        <v>7</v>
      </c>
      <c r="N15">
        <f>AVERAGE(テーブル1[[#This Row],[正確性]:[情報開示適切性]])</f>
        <v>1.1666666666666667</v>
      </c>
      <c r="O15" t="s">
        <v>80</v>
      </c>
    </row>
    <row r="16" spans="1:15">
      <c r="A16">
        <v>500</v>
      </c>
      <c r="B16">
        <v>50</v>
      </c>
      <c r="C16">
        <v>15</v>
      </c>
      <c r="D16" t="s">
        <v>39</v>
      </c>
      <c r="E16" t="s">
        <v>81</v>
      </c>
      <c r="F16" t="s">
        <v>82</v>
      </c>
      <c r="G16">
        <v>1</v>
      </c>
      <c r="H16">
        <v>1</v>
      </c>
      <c r="I16">
        <v>0</v>
      </c>
      <c r="J16">
        <v>1</v>
      </c>
      <c r="K16">
        <v>2</v>
      </c>
      <c r="L16">
        <v>1</v>
      </c>
      <c r="M16">
        <f>SUM(テーブル1[[#This Row],[正確性]:[情報開示適切性]])</f>
        <v>6</v>
      </c>
      <c r="N16">
        <f>AVERAGE(テーブル1[[#This Row],[正確性]:[情報開示適切性]])</f>
        <v>1</v>
      </c>
      <c r="O16" t="s">
        <v>83</v>
      </c>
    </row>
    <row r="17" spans="1:15">
      <c r="A17">
        <v>500</v>
      </c>
      <c r="B17">
        <v>50</v>
      </c>
      <c r="C17">
        <v>16</v>
      </c>
      <c r="D17" t="s">
        <v>41</v>
      </c>
      <c r="E17" t="s">
        <v>84</v>
      </c>
      <c r="F17" t="s">
        <v>85</v>
      </c>
      <c r="G17">
        <v>1</v>
      </c>
      <c r="H17">
        <v>1</v>
      </c>
      <c r="I17">
        <v>1</v>
      </c>
      <c r="J17">
        <v>2</v>
      </c>
      <c r="K17">
        <v>2</v>
      </c>
      <c r="L17">
        <v>1</v>
      </c>
      <c r="M17">
        <f>SUM(テーブル1[[#This Row],[正確性]:[情報開示適切性]])</f>
        <v>8</v>
      </c>
      <c r="N17">
        <f>AVERAGE(テーブル1[[#This Row],[正確性]:[情報開示適切性]])</f>
        <v>1.3333333333333333</v>
      </c>
      <c r="O17" s="1" t="s">
        <v>86</v>
      </c>
    </row>
    <row r="18" spans="1:15">
      <c r="A18">
        <v>500</v>
      </c>
      <c r="B18">
        <v>50</v>
      </c>
      <c r="C18">
        <v>17</v>
      </c>
      <c r="D18" t="s">
        <v>41</v>
      </c>
      <c r="E18" t="s">
        <v>87</v>
      </c>
      <c r="F18" t="s">
        <v>88</v>
      </c>
      <c r="G18">
        <v>2</v>
      </c>
      <c r="H18">
        <v>2</v>
      </c>
      <c r="I18">
        <v>2</v>
      </c>
      <c r="J18">
        <v>1</v>
      </c>
      <c r="K18">
        <v>2</v>
      </c>
      <c r="L18">
        <v>2</v>
      </c>
      <c r="M18">
        <f>SUM(テーブル1[[#This Row],[正確性]:[情報開示適切性]])</f>
        <v>11</v>
      </c>
      <c r="N18">
        <f>AVERAGE(テーブル1[[#This Row],[正確性]:[情報開示適切性]])</f>
        <v>1.8333333333333333</v>
      </c>
      <c r="O18" t="s">
        <v>89</v>
      </c>
    </row>
    <row r="19" spans="1:15">
      <c r="A19">
        <v>500</v>
      </c>
      <c r="B19">
        <v>50</v>
      </c>
      <c r="C19">
        <v>18</v>
      </c>
      <c r="D19" t="s">
        <v>41</v>
      </c>
      <c r="E19" t="s">
        <v>90</v>
      </c>
      <c r="F19" t="s">
        <v>91</v>
      </c>
      <c r="G19">
        <v>2</v>
      </c>
      <c r="H19">
        <v>2</v>
      </c>
      <c r="I19">
        <v>1</v>
      </c>
      <c r="J19">
        <v>1</v>
      </c>
      <c r="K19">
        <v>2</v>
      </c>
      <c r="L19">
        <v>2</v>
      </c>
      <c r="M19">
        <f>SUM(テーブル1[[#This Row],[正確性]:[情報開示適切性]])</f>
        <v>10</v>
      </c>
      <c r="N19">
        <f>AVERAGE(テーブル1[[#This Row],[正確性]:[情報開示適切性]])</f>
        <v>1.6666666666666667</v>
      </c>
      <c r="O19" t="s">
        <v>92</v>
      </c>
    </row>
    <row r="20" spans="1:15">
      <c r="A20">
        <v>500</v>
      </c>
      <c r="B20">
        <v>50</v>
      </c>
      <c r="C20">
        <v>19</v>
      </c>
      <c r="D20" t="s">
        <v>41</v>
      </c>
      <c r="E20" t="s">
        <v>93</v>
      </c>
      <c r="F20" t="s">
        <v>94</v>
      </c>
      <c r="G20">
        <v>1</v>
      </c>
      <c r="H20">
        <v>1</v>
      </c>
      <c r="I20">
        <v>0</v>
      </c>
      <c r="J20">
        <v>1</v>
      </c>
      <c r="K20">
        <v>2</v>
      </c>
      <c r="L20">
        <v>2</v>
      </c>
      <c r="M20">
        <f>SUM(テーブル1[[#This Row],[正確性]:[情報開示適切性]])</f>
        <v>7</v>
      </c>
      <c r="N20">
        <f>AVERAGE(テーブル1[[#This Row],[正確性]:[情報開示適切性]])</f>
        <v>1.1666666666666667</v>
      </c>
      <c r="O20" s="1" t="s">
        <v>95</v>
      </c>
    </row>
    <row r="21" spans="1:15">
      <c r="A21">
        <v>500</v>
      </c>
      <c r="B21">
        <v>50</v>
      </c>
      <c r="C21">
        <v>20</v>
      </c>
      <c r="D21" t="s">
        <v>41</v>
      </c>
      <c r="E21" t="s">
        <v>96</v>
      </c>
      <c r="F21" t="s">
        <v>97</v>
      </c>
      <c r="G21">
        <v>1</v>
      </c>
      <c r="H21">
        <v>1</v>
      </c>
      <c r="I21">
        <v>0</v>
      </c>
      <c r="J21">
        <v>1</v>
      </c>
      <c r="K21">
        <v>2</v>
      </c>
      <c r="L21">
        <v>1</v>
      </c>
      <c r="M21">
        <f>SUM(テーブル1[[#This Row],[正確性]:[情報開示適切性]])</f>
        <v>6</v>
      </c>
      <c r="N21">
        <f>AVERAGE(テーブル1[[#This Row],[正確性]:[情報開示適切性]])</f>
        <v>1</v>
      </c>
      <c r="O21" t="s">
        <v>98</v>
      </c>
    </row>
    <row r="22" spans="1:15">
      <c r="A22">
        <v>500</v>
      </c>
      <c r="B22">
        <v>50</v>
      </c>
      <c r="C22">
        <v>21</v>
      </c>
      <c r="D22" t="s">
        <v>42</v>
      </c>
      <c r="E22" t="s">
        <v>99</v>
      </c>
      <c r="F22" t="s">
        <v>100</v>
      </c>
      <c r="G22">
        <v>1</v>
      </c>
      <c r="H22">
        <v>1</v>
      </c>
      <c r="I22">
        <v>0</v>
      </c>
      <c r="J22">
        <v>1</v>
      </c>
      <c r="K22">
        <v>2</v>
      </c>
      <c r="L22">
        <v>1</v>
      </c>
      <c r="M22">
        <f>SUM(テーブル1[[#This Row],[正確性]:[情報開示適切性]])</f>
        <v>6</v>
      </c>
      <c r="N22">
        <f>AVERAGE(テーブル1[[#This Row],[正確性]:[情報開示適切性]])</f>
        <v>1</v>
      </c>
      <c r="O22" t="s">
        <v>101</v>
      </c>
    </row>
    <row r="23" spans="1:15">
      <c r="A23">
        <v>500</v>
      </c>
      <c r="B23">
        <v>50</v>
      </c>
      <c r="C23">
        <v>22</v>
      </c>
      <c r="D23" t="s">
        <v>42</v>
      </c>
      <c r="E23" t="s">
        <v>32</v>
      </c>
      <c r="F23" t="s">
        <v>102</v>
      </c>
      <c r="G23">
        <v>2</v>
      </c>
      <c r="H23">
        <v>1</v>
      </c>
      <c r="I23">
        <v>0</v>
      </c>
      <c r="J23">
        <v>1</v>
      </c>
      <c r="K23">
        <v>2</v>
      </c>
      <c r="L23">
        <v>2</v>
      </c>
      <c r="M23">
        <f>SUM(テーブル1[[#This Row],[正確性]:[情報開示適切性]])</f>
        <v>8</v>
      </c>
      <c r="N23">
        <f>AVERAGE(テーブル1[[#This Row],[正確性]:[情報開示適切性]])</f>
        <v>1.3333333333333333</v>
      </c>
      <c r="O23" t="s">
        <v>105</v>
      </c>
    </row>
    <row r="24" spans="1:15">
      <c r="A24">
        <v>500</v>
      </c>
      <c r="B24">
        <v>50</v>
      </c>
      <c r="C24">
        <v>23</v>
      </c>
      <c r="D24" t="s">
        <v>42</v>
      </c>
      <c r="E24" t="s">
        <v>103</v>
      </c>
      <c r="F24" t="s">
        <v>104</v>
      </c>
      <c r="G24">
        <v>0</v>
      </c>
      <c r="H24">
        <v>1</v>
      </c>
      <c r="I24">
        <v>1</v>
      </c>
      <c r="J24">
        <v>1</v>
      </c>
      <c r="K24">
        <v>2</v>
      </c>
      <c r="L24">
        <v>1</v>
      </c>
      <c r="M24">
        <f>SUM(テーブル1[[#This Row],[正確性]:[情報開示適切性]])</f>
        <v>6</v>
      </c>
      <c r="N24">
        <f>AVERAGE(テーブル1[[#This Row],[正確性]:[情報開示適切性]])</f>
        <v>1</v>
      </c>
      <c r="O24" t="s">
        <v>106</v>
      </c>
    </row>
    <row r="25" spans="1:15">
      <c r="A25">
        <v>500</v>
      </c>
      <c r="B25">
        <v>50</v>
      </c>
      <c r="C25">
        <v>24</v>
      </c>
      <c r="D25" t="s">
        <v>42</v>
      </c>
      <c r="E25" t="s">
        <v>34</v>
      </c>
      <c r="F25" t="s">
        <v>107</v>
      </c>
      <c r="G25">
        <v>1</v>
      </c>
      <c r="H25">
        <v>1</v>
      </c>
      <c r="I25">
        <v>0</v>
      </c>
      <c r="J25">
        <v>1</v>
      </c>
      <c r="K25">
        <v>2</v>
      </c>
      <c r="L25">
        <v>2</v>
      </c>
      <c r="M25">
        <f>SUM(テーブル1[[#This Row],[正確性]:[情報開示適切性]])</f>
        <v>7</v>
      </c>
      <c r="N25">
        <f>AVERAGE(テーブル1[[#This Row],[正確性]:[情報開示適切性]])</f>
        <v>1.1666666666666667</v>
      </c>
      <c r="O25" t="s">
        <v>108</v>
      </c>
    </row>
    <row r="26" spans="1:15">
      <c r="A26">
        <v>500</v>
      </c>
      <c r="B26">
        <v>50</v>
      </c>
      <c r="C26">
        <v>25</v>
      </c>
      <c r="D26" t="s">
        <v>42</v>
      </c>
      <c r="E26" t="s">
        <v>109</v>
      </c>
      <c r="F26" t="s">
        <v>110</v>
      </c>
      <c r="G26">
        <v>1</v>
      </c>
      <c r="H26">
        <v>0</v>
      </c>
      <c r="I26">
        <v>0</v>
      </c>
      <c r="J26">
        <v>0</v>
      </c>
      <c r="K26">
        <v>2</v>
      </c>
      <c r="L26">
        <v>1</v>
      </c>
      <c r="M26">
        <f>SUM(テーブル1[[#This Row],[正確性]:[情報開示適切性]])</f>
        <v>4</v>
      </c>
      <c r="N26">
        <f>AVERAGE(テーブル1[[#This Row],[正確性]:[情報開示適切性]])</f>
        <v>0.66666666666666663</v>
      </c>
      <c r="O26" t="s">
        <v>111</v>
      </c>
    </row>
    <row r="27" spans="1:15">
      <c r="G27">
        <f>AVERAGE(テーブル1[正確性])</f>
        <v>1</v>
      </c>
      <c r="H27">
        <f>AVERAGE(テーブル1[網羅性])</f>
        <v>1.04</v>
      </c>
      <c r="I27">
        <f>AVERAGE(テーブル1[具体性])</f>
        <v>0.64</v>
      </c>
      <c r="J27">
        <f>AVERAGE(テーブル1[初心者適合])</f>
        <v>1.04</v>
      </c>
      <c r="K27">
        <f>AVERAGE(テーブル1[安全性・倫理])</f>
        <v>1.84</v>
      </c>
      <c r="L27">
        <f>AVERAGE(テーブル1[情報開示適切性])</f>
        <v>1.36</v>
      </c>
      <c r="M27">
        <f>AVERAGE(テーブル1[小計])</f>
        <v>6.92</v>
      </c>
      <c r="N27">
        <f>AVERAGE(テーブル1[平均])</f>
        <v>1.1533333333333333</v>
      </c>
    </row>
    <row r="30" spans="1:15">
      <c r="A30" t="s">
        <v>0</v>
      </c>
      <c r="B30" t="s">
        <v>1</v>
      </c>
      <c r="C30" t="s">
        <v>2</v>
      </c>
      <c r="D30" t="s">
        <v>37</v>
      </c>
      <c r="E30" t="s">
        <v>3</v>
      </c>
      <c r="F30" t="s">
        <v>43</v>
      </c>
      <c r="G30" t="s">
        <v>4</v>
      </c>
      <c r="H30" t="s">
        <v>5</v>
      </c>
      <c r="I30" t="s">
        <v>6</v>
      </c>
      <c r="J30" t="s">
        <v>7</v>
      </c>
      <c r="K30" t="s">
        <v>8</v>
      </c>
      <c r="L30" t="s">
        <v>44</v>
      </c>
      <c r="M30" t="s">
        <v>9</v>
      </c>
      <c r="N30" t="s">
        <v>10</v>
      </c>
      <c r="O30" t="s">
        <v>45</v>
      </c>
    </row>
    <row r="31" spans="1:15">
      <c r="A31">
        <v>500</v>
      </c>
      <c r="B31">
        <v>100</v>
      </c>
      <c r="C31">
        <v>1</v>
      </c>
      <c r="D31" t="s">
        <v>38</v>
      </c>
      <c r="E31" t="s">
        <v>11</v>
      </c>
      <c r="F31" s="1"/>
      <c r="G31" t="s">
        <v>36</v>
      </c>
      <c r="H31" t="s">
        <v>36</v>
      </c>
      <c r="I31" t="s">
        <v>36</v>
      </c>
      <c r="J31" t="s">
        <v>36</v>
      </c>
      <c r="K31" t="s">
        <v>36</v>
      </c>
      <c r="L31" t="s">
        <v>36</v>
      </c>
      <c r="M31">
        <f>SUM(テーブル15[[#This Row],[正確性]:[情報開示適切性]])</f>
        <v>0</v>
      </c>
      <c r="N31" t="e">
        <f>AVERAGE(テーブル15[[#This Row],[正確性]:[情報開示適切性]])</f>
        <v>#DIV/0!</v>
      </c>
    </row>
    <row r="32" spans="1:15">
      <c r="A32">
        <v>500</v>
      </c>
      <c r="B32">
        <v>100</v>
      </c>
      <c r="C32">
        <v>2</v>
      </c>
      <c r="D32" t="s">
        <v>38</v>
      </c>
      <c r="E32" t="s">
        <v>12</v>
      </c>
      <c r="G32" t="s">
        <v>36</v>
      </c>
      <c r="M32">
        <f>SUM(テーブル15[[#This Row],[正確性]:[情報開示適切性]])</f>
        <v>0</v>
      </c>
      <c r="N32" t="e">
        <f>AVERAGE(テーブル15[[#This Row],[正確性]:[情報開示適切性]])</f>
        <v>#DIV/0!</v>
      </c>
    </row>
    <row r="33" spans="1:14">
      <c r="A33">
        <v>500</v>
      </c>
      <c r="B33">
        <v>100</v>
      </c>
      <c r="C33">
        <v>3</v>
      </c>
      <c r="D33" t="s">
        <v>38</v>
      </c>
      <c r="E33" t="s">
        <v>13</v>
      </c>
      <c r="G33" t="s">
        <v>36</v>
      </c>
      <c r="M33">
        <f>SUM(テーブル15[[#This Row],[正確性]:[情報開示適切性]])</f>
        <v>0</v>
      </c>
      <c r="N33" t="e">
        <f>AVERAGE(テーブル15[[#This Row],[正確性]:[情報開示適切性]])</f>
        <v>#DIV/0!</v>
      </c>
    </row>
    <row r="34" spans="1:14">
      <c r="A34">
        <v>500</v>
      </c>
      <c r="B34">
        <v>100</v>
      </c>
      <c r="C34">
        <v>4</v>
      </c>
      <c r="D34" t="s">
        <v>38</v>
      </c>
      <c r="E34" t="s">
        <v>14</v>
      </c>
      <c r="G34" t="s">
        <v>36</v>
      </c>
      <c r="M34">
        <f>SUM(テーブル15[[#This Row],[正確性]:[情報開示適切性]])</f>
        <v>0</v>
      </c>
      <c r="N34" t="e">
        <f>AVERAGE(テーブル15[[#This Row],[正確性]:[情報開示適切性]])</f>
        <v>#DIV/0!</v>
      </c>
    </row>
    <row r="35" spans="1:14">
      <c r="A35">
        <v>500</v>
      </c>
      <c r="B35">
        <v>100</v>
      </c>
      <c r="C35">
        <v>5</v>
      </c>
      <c r="D35" t="s">
        <v>38</v>
      </c>
      <c r="E35" t="s">
        <v>15</v>
      </c>
      <c r="G35" t="s">
        <v>36</v>
      </c>
      <c r="M35">
        <f>SUM(テーブル15[[#This Row],[正確性]:[情報開示適切性]])</f>
        <v>0</v>
      </c>
      <c r="N35" t="e">
        <f>AVERAGE(テーブル15[[#This Row],[正確性]:[情報開示適切性]])</f>
        <v>#DIV/0!</v>
      </c>
    </row>
    <row r="36" spans="1:14">
      <c r="A36">
        <v>500</v>
      </c>
      <c r="B36">
        <v>100</v>
      </c>
      <c r="C36">
        <v>6</v>
      </c>
      <c r="D36" t="s">
        <v>40</v>
      </c>
      <c r="E36" t="s">
        <v>16</v>
      </c>
      <c r="G36" t="s">
        <v>36</v>
      </c>
      <c r="M36">
        <f>SUM(テーブル15[[#This Row],[正確性]:[情報開示適切性]])</f>
        <v>0</v>
      </c>
      <c r="N36" t="e">
        <f>AVERAGE(テーブル15[[#This Row],[正確性]:[情報開示適切性]])</f>
        <v>#DIV/0!</v>
      </c>
    </row>
    <row r="37" spans="1:14">
      <c r="A37">
        <v>500</v>
      </c>
      <c r="B37">
        <v>100</v>
      </c>
      <c r="C37">
        <v>7</v>
      </c>
      <c r="D37" t="s">
        <v>40</v>
      </c>
      <c r="E37" t="s">
        <v>17</v>
      </c>
      <c r="G37" t="s">
        <v>36</v>
      </c>
      <c r="M37">
        <f>SUM(テーブル15[[#This Row],[正確性]:[情報開示適切性]])</f>
        <v>0</v>
      </c>
      <c r="N37" t="e">
        <f>AVERAGE(テーブル15[[#This Row],[正確性]:[情報開示適切性]])</f>
        <v>#DIV/0!</v>
      </c>
    </row>
    <row r="38" spans="1:14">
      <c r="A38">
        <v>500</v>
      </c>
      <c r="B38">
        <v>100</v>
      </c>
      <c r="C38">
        <v>8</v>
      </c>
      <c r="D38" t="s">
        <v>40</v>
      </c>
      <c r="E38" t="s">
        <v>18</v>
      </c>
      <c r="G38" t="s">
        <v>36</v>
      </c>
      <c r="M38">
        <f>SUM(テーブル15[[#This Row],[正確性]:[情報開示適切性]])</f>
        <v>0</v>
      </c>
      <c r="N38" t="e">
        <f>AVERAGE(テーブル15[[#This Row],[正確性]:[情報開示適切性]])</f>
        <v>#DIV/0!</v>
      </c>
    </row>
    <row r="39" spans="1:14">
      <c r="A39">
        <v>500</v>
      </c>
      <c r="B39">
        <v>100</v>
      </c>
      <c r="C39">
        <v>9</v>
      </c>
      <c r="D39" t="s">
        <v>40</v>
      </c>
      <c r="E39" t="s">
        <v>19</v>
      </c>
      <c r="G39" t="s">
        <v>36</v>
      </c>
      <c r="M39">
        <f>SUM(テーブル15[[#This Row],[正確性]:[情報開示適切性]])</f>
        <v>0</v>
      </c>
      <c r="N39" t="e">
        <f>AVERAGE(テーブル15[[#This Row],[正確性]:[情報開示適切性]])</f>
        <v>#DIV/0!</v>
      </c>
    </row>
    <row r="40" spans="1:14">
      <c r="A40">
        <v>500</v>
      </c>
      <c r="B40">
        <v>100</v>
      </c>
      <c r="C40">
        <v>10</v>
      </c>
      <c r="D40" t="s">
        <v>40</v>
      </c>
      <c r="E40" t="s">
        <v>20</v>
      </c>
      <c r="G40" t="s">
        <v>36</v>
      </c>
      <c r="M40">
        <f>SUM(テーブル15[[#This Row],[正確性]:[情報開示適切性]])</f>
        <v>0</v>
      </c>
      <c r="N40" t="e">
        <f>AVERAGE(テーブル15[[#This Row],[正確性]:[情報開示適切性]])</f>
        <v>#DIV/0!</v>
      </c>
    </row>
    <row r="41" spans="1:14">
      <c r="A41">
        <v>500</v>
      </c>
      <c r="B41">
        <v>100</v>
      </c>
      <c r="C41">
        <v>11</v>
      </c>
      <c r="D41" t="s">
        <v>39</v>
      </c>
      <c r="E41" t="s">
        <v>21</v>
      </c>
      <c r="G41" t="s">
        <v>36</v>
      </c>
      <c r="M41">
        <f>SUM(テーブル15[[#This Row],[正確性]:[情報開示適切性]])</f>
        <v>0</v>
      </c>
      <c r="N41" t="e">
        <f>AVERAGE(テーブル15[[#This Row],[正確性]:[情報開示適切性]])</f>
        <v>#DIV/0!</v>
      </c>
    </row>
    <row r="42" spans="1:14">
      <c r="A42">
        <v>500</v>
      </c>
      <c r="B42">
        <v>100</v>
      </c>
      <c r="C42">
        <v>12</v>
      </c>
      <c r="D42" t="s">
        <v>39</v>
      </c>
      <c r="E42" t="s">
        <v>22</v>
      </c>
      <c r="G42" t="s">
        <v>36</v>
      </c>
      <c r="M42">
        <f>SUM(テーブル15[[#This Row],[正確性]:[情報開示適切性]])</f>
        <v>0</v>
      </c>
      <c r="N42" t="e">
        <f>AVERAGE(テーブル15[[#This Row],[正確性]:[情報開示適切性]])</f>
        <v>#DIV/0!</v>
      </c>
    </row>
    <row r="43" spans="1:14">
      <c r="A43">
        <v>500</v>
      </c>
      <c r="B43">
        <v>100</v>
      </c>
      <c r="C43">
        <v>13</v>
      </c>
      <c r="D43" t="s">
        <v>39</v>
      </c>
      <c r="E43" t="s">
        <v>23</v>
      </c>
      <c r="G43" t="s">
        <v>36</v>
      </c>
      <c r="M43">
        <f>SUM(テーブル15[[#This Row],[正確性]:[情報開示適切性]])</f>
        <v>0</v>
      </c>
      <c r="N43" t="e">
        <f>AVERAGE(テーブル15[[#This Row],[正確性]:[情報開示適切性]])</f>
        <v>#DIV/0!</v>
      </c>
    </row>
    <row r="44" spans="1:14">
      <c r="A44">
        <v>500</v>
      </c>
      <c r="B44">
        <v>100</v>
      </c>
      <c r="C44">
        <v>14</v>
      </c>
      <c r="D44" t="s">
        <v>39</v>
      </c>
      <c r="E44" t="s">
        <v>24</v>
      </c>
      <c r="G44" t="s">
        <v>36</v>
      </c>
      <c r="M44">
        <f>SUM(テーブル15[[#This Row],[正確性]:[情報開示適切性]])</f>
        <v>0</v>
      </c>
      <c r="N44" t="e">
        <f>AVERAGE(テーブル15[[#This Row],[正確性]:[情報開示適切性]])</f>
        <v>#DIV/0!</v>
      </c>
    </row>
    <row r="45" spans="1:14">
      <c r="A45">
        <v>500</v>
      </c>
      <c r="B45">
        <v>100</v>
      </c>
      <c r="C45">
        <v>15</v>
      </c>
      <c r="D45" t="s">
        <v>39</v>
      </c>
      <c r="E45" t="s">
        <v>25</v>
      </c>
      <c r="G45" t="s">
        <v>36</v>
      </c>
      <c r="M45">
        <f>SUM(テーブル15[[#This Row],[正確性]:[情報開示適切性]])</f>
        <v>0</v>
      </c>
      <c r="N45" t="e">
        <f>AVERAGE(テーブル15[[#This Row],[正確性]:[情報開示適切性]])</f>
        <v>#DIV/0!</v>
      </c>
    </row>
    <row r="46" spans="1:14">
      <c r="A46">
        <v>500</v>
      </c>
      <c r="B46">
        <v>100</v>
      </c>
      <c r="C46">
        <v>16</v>
      </c>
      <c r="D46" t="s">
        <v>41</v>
      </c>
      <c r="E46" t="s">
        <v>26</v>
      </c>
      <c r="G46" t="s">
        <v>36</v>
      </c>
      <c r="M46">
        <f>SUM(テーブル15[[#This Row],[正確性]:[情報開示適切性]])</f>
        <v>0</v>
      </c>
      <c r="N46" t="e">
        <f>AVERAGE(テーブル15[[#This Row],[正確性]:[情報開示適切性]])</f>
        <v>#DIV/0!</v>
      </c>
    </row>
    <row r="47" spans="1:14">
      <c r="A47">
        <v>500</v>
      </c>
      <c r="B47">
        <v>100</v>
      </c>
      <c r="C47">
        <v>17</v>
      </c>
      <c r="D47" t="s">
        <v>41</v>
      </c>
      <c r="E47" t="s">
        <v>27</v>
      </c>
      <c r="G47" t="s">
        <v>36</v>
      </c>
      <c r="M47">
        <f>SUM(テーブル15[[#This Row],[正確性]:[情報開示適切性]])</f>
        <v>0</v>
      </c>
      <c r="N47" t="e">
        <f>AVERAGE(テーブル15[[#This Row],[正確性]:[情報開示適切性]])</f>
        <v>#DIV/0!</v>
      </c>
    </row>
    <row r="48" spans="1:14">
      <c r="A48">
        <v>500</v>
      </c>
      <c r="B48">
        <v>100</v>
      </c>
      <c r="C48">
        <v>18</v>
      </c>
      <c r="D48" t="s">
        <v>41</v>
      </c>
      <c r="E48" t="s">
        <v>28</v>
      </c>
      <c r="G48" t="s">
        <v>36</v>
      </c>
      <c r="M48">
        <f>SUM(テーブル15[[#This Row],[正確性]:[情報開示適切性]])</f>
        <v>0</v>
      </c>
      <c r="N48" t="e">
        <f>AVERAGE(テーブル15[[#This Row],[正確性]:[情報開示適切性]])</f>
        <v>#DIV/0!</v>
      </c>
    </row>
    <row r="49" spans="1:15">
      <c r="A49">
        <v>500</v>
      </c>
      <c r="B49">
        <v>100</v>
      </c>
      <c r="C49">
        <v>19</v>
      </c>
      <c r="D49" t="s">
        <v>41</v>
      </c>
      <c r="E49" t="s">
        <v>29</v>
      </c>
      <c r="G49" t="s">
        <v>36</v>
      </c>
      <c r="M49">
        <f>SUM(テーブル15[[#This Row],[正確性]:[情報開示適切性]])</f>
        <v>0</v>
      </c>
      <c r="N49" t="e">
        <f>AVERAGE(テーブル15[[#This Row],[正確性]:[情報開示適切性]])</f>
        <v>#DIV/0!</v>
      </c>
    </row>
    <row r="50" spans="1:15">
      <c r="A50">
        <v>500</v>
      </c>
      <c r="B50">
        <v>100</v>
      </c>
      <c r="C50">
        <v>20</v>
      </c>
      <c r="D50" t="s">
        <v>41</v>
      </c>
      <c r="E50" t="s">
        <v>30</v>
      </c>
      <c r="G50" t="s">
        <v>36</v>
      </c>
      <c r="M50">
        <f>SUM(テーブル15[[#This Row],[正確性]:[情報開示適切性]])</f>
        <v>0</v>
      </c>
      <c r="N50" t="e">
        <f>AVERAGE(テーブル15[[#This Row],[正確性]:[情報開示適切性]])</f>
        <v>#DIV/0!</v>
      </c>
    </row>
    <row r="51" spans="1:15">
      <c r="A51">
        <v>500</v>
      </c>
      <c r="B51">
        <v>100</v>
      </c>
      <c r="C51">
        <v>21</v>
      </c>
      <c r="D51" t="s">
        <v>42</v>
      </c>
      <c r="E51" t="s">
        <v>31</v>
      </c>
      <c r="G51" t="s">
        <v>36</v>
      </c>
      <c r="M51">
        <f>SUM(テーブル15[[#This Row],[正確性]:[情報開示適切性]])</f>
        <v>0</v>
      </c>
      <c r="N51" t="e">
        <f>AVERAGE(テーブル15[[#This Row],[正確性]:[情報開示適切性]])</f>
        <v>#DIV/0!</v>
      </c>
    </row>
    <row r="52" spans="1:15">
      <c r="A52">
        <v>500</v>
      </c>
      <c r="B52">
        <v>100</v>
      </c>
      <c r="C52">
        <v>22</v>
      </c>
      <c r="D52" t="s">
        <v>42</v>
      </c>
      <c r="E52" t="s">
        <v>32</v>
      </c>
      <c r="G52" t="s">
        <v>36</v>
      </c>
      <c r="M52">
        <f>SUM(テーブル15[[#This Row],[正確性]:[情報開示適切性]])</f>
        <v>0</v>
      </c>
      <c r="N52" t="e">
        <f>AVERAGE(テーブル15[[#This Row],[正確性]:[情報開示適切性]])</f>
        <v>#DIV/0!</v>
      </c>
    </row>
    <row r="53" spans="1:15">
      <c r="A53">
        <v>500</v>
      </c>
      <c r="B53">
        <v>100</v>
      </c>
      <c r="C53">
        <v>23</v>
      </c>
      <c r="D53" t="s">
        <v>42</v>
      </c>
      <c r="E53" t="s">
        <v>33</v>
      </c>
      <c r="G53" t="s">
        <v>36</v>
      </c>
      <c r="M53">
        <f>SUM(テーブル15[[#This Row],[正確性]:[情報開示適切性]])</f>
        <v>0</v>
      </c>
      <c r="N53" t="e">
        <f>AVERAGE(テーブル15[[#This Row],[正確性]:[情報開示適切性]])</f>
        <v>#DIV/0!</v>
      </c>
    </row>
    <row r="54" spans="1:15">
      <c r="A54">
        <v>500</v>
      </c>
      <c r="B54">
        <v>100</v>
      </c>
      <c r="C54">
        <v>24</v>
      </c>
      <c r="D54" t="s">
        <v>42</v>
      </c>
      <c r="E54" t="s">
        <v>34</v>
      </c>
      <c r="G54" t="s">
        <v>36</v>
      </c>
      <c r="M54">
        <f>SUM(テーブル15[[#This Row],[正確性]:[情報開示適切性]])</f>
        <v>0</v>
      </c>
      <c r="N54" t="e">
        <f>AVERAGE(テーブル15[[#This Row],[正確性]:[情報開示適切性]])</f>
        <v>#DIV/0!</v>
      </c>
    </row>
    <row r="55" spans="1:15">
      <c r="A55">
        <v>500</v>
      </c>
      <c r="B55">
        <v>100</v>
      </c>
      <c r="C55">
        <v>25</v>
      </c>
      <c r="D55" t="s">
        <v>42</v>
      </c>
      <c r="E55" t="s">
        <v>35</v>
      </c>
      <c r="G55" t="s">
        <v>36</v>
      </c>
      <c r="M55">
        <f>SUM(テーブル15[[#This Row],[正確性]:[情報開示適切性]])</f>
        <v>0</v>
      </c>
      <c r="N55" t="e">
        <f>AVERAGE(テーブル15[[#This Row],[正確性]:[情報開示適切性]])</f>
        <v>#DIV/0!</v>
      </c>
    </row>
    <row r="59" spans="1:15">
      <c r="A59" t="s">
        <v>0</v>
      </c>
      <c r="B59" t="s">
        <v>1</v>
      </c>
      <c r="C59" t="s">
        <v>2</v>
      </c>
      <c r="D59" t="s">
        <v>37</v>
      </c>
      <c r="E59" t="s">
        <v>3</v>
      </c>
      <c r="F59" t="s">
        <v>43</v>
      </c>
      <c r="G59" t="s">
        <v>4</v>
      </c>
      <c r="H59" t="s">
        <v>5</v>
      </c>
      <c r="I59" t="s">
        <v>6</v>
      </c>
      <c r="J59" t="s">
        <v>7</v>
      </c>
      <c r="K59" t="s">
        <v>8</v>
      </c>
      <c r="L59" t="s">
        <v>44</v>
      </c>
      <c r="M59" t="s">
        <v>9</v>
      </c>
      <c r="N59" t="s">
        <v>10</v>
      </c>
      <c r="O59" t="s">
        <v>45</v>
      </c>
    </row>
    <row r="60" spans="1:15">
      <c r="A60">
        <v>500</v>
      </c>
      <c r="B60">
        <v>200</v>
      </c>
      <c r="C60">
        <v>1</v>
      </c>
      <c r="D60" t="s">
        <v>38</v>
      </c>
      <c r="E60" t="s">
        <v>11</v>
      </c>
      <c r="F60" s="1"/>
      <c r="G60" t="s">
        <v>36</v>
      </c>
      <c r="H60" t="s">
        <v>36</v>
      </c>
      <c r="I60" t="s">
        <v>36</v>
      </c>
      <c r="J60" t="s">
        <v>36</v>
      </c>
      <c r="K60" t="s">
        <v>36</v>
      </c>
      <c r="L60" t="s">
        <v>36</v>
      </c>
      <c r="M60">
        <f>SUM(テーブル19[[#This Row],[正確性]:[情報開示適切性]])</f>
        <v>0</v>
      </c>
      <c r="N60" t="e">
        <f>AVERAGE(テーブル19[[#This Row],[正確性]:[情報開示適切性]])</f>
        <v>#DIV/0!</v>
      </c>
    </row>
    <row r="61" spans="1:15">
      <c r="A61">
        <v>500</v>
      </c>
      <c r="B61">
        <v>200</v>
      </c>
      <c r="C61">
        <v>2</v>
      </c>
      <c r="D61" t="s">
        <v>38</v>
      </c>
      <c r="E61" t="s">
        <v>12</v>
      </c>
      <c r="G61" t="s">
        <v>36</v>
      </c>
      <c r="M61">
        <f>SUM(テーブル19[[#This Row],[正確性]:[情報開示適切性]])</f>
        <v>0</v>
      </c>
      <c r="N61" t="e">
        <f>AVERAGE(テーブル19[[#This Row],[正確性]:[情報開示適切性]])</f>
        <v>#DIV/0!</v>
      </c>
    </row>
    <row r="62" spans="1:15">
      <c r="A62">
        <v>500</v>
      </c>
      <c r="B62">
        <v>200</v>
      </c>
      <c r="C62">
        <v>3</v>
      </c>
      <c r="D62" t="s">
        <v>38</v>
      </c>
      <c r="E62" t="s">
        <v>13</v>
      </c>
      <c r="G62" t="s">
        <v>36</v>
      </c>
      <c r="M62">
        <f>SUM(テーブル19[[#This Row],[正確性]:[情報開示適切性]])</f>
        <v>0</v>
      </c>
      <c r="N62" t="e">
        <f>AVERAGE(テーブル19[[#This Row],[正確性]:[情報開示適切性]])</f>
        <v>#DIV/0!</v>
      </c>
    </row>
    <row r="63" spans="1:15">
      <c r="A63">
        <v>500</v>
      </c>
      <c r="B63">
        <v>200</v>
      </c>
      <c r="C63">
        <v>4</v>
      </c>
      <c r="D63" t="s">
        <v>38</v>
      </c>
      <c r="E63" t="s">
        <v>14</v>
      </c>
      <c r="G63" t="s">
        <v>36</v>
      </c>
      <c r="M63">
        <f>SUM(テーブル19[[#This Row],[正確性]:[情報開示適切性]])</f>
        <v>0</v>
      </c>
      <c r="N63" t="e">
        <f>AVERAGE(テーブル19[[#This Row],[正確性]:[情報開示適切性]])</f>
        <v>#DIV/0!</v>
      </c>
    </row>
    <row r="64" spans="1:15">
      <c r="A64">
        <v>500</v>
      </c>
      <c r="B64">
        <v>200</v>
      </c>
      <c r="C64">
        <v>5</v>
      </c>
      <c r="D64" t="s">
        <v>38</v>
      </c>
      <c r="E64" t="s">
        <v>15</v>
      </c>
      <c r="G64" t="s">
        <v>36</v>
      </c>
      <c r="M64">
        <f>SUM(テーブル19[[#This Row],[正確性]:[情報開示適切性]])</f>
        <v>0</v>
      </c>
      <c r="N64" t="e">
        <f>AVERAGE(テーブル19[[#This Row],[正確性]:[情報開示適切性]])</f>
        <v>#DIV/0!</v>
      </c>
    </row>
    <row r="65" spans="1:14">
      <c r="A65">
        <v>500</v>
      </c>
      <c r="B65">
        <v>200</v>
      </c>
      <c r="C65">
        <v>6</v>
      </c>
      <c r="D65" t="s">
        <v>40</v>
      </c>
      <c r="E65" t="s">
        <v>16</v>
      </c>
      <c r="G65" t="s">
        <v>36</v>
      </c>
      <c r="M65">
        <f>SUM(テーブル19[[#This Row],[正確性]:[情報開示適切性]])</f>
        <v>0</v>
      </c>
      <c r="N65" t="e">
        <f>AVERAGE(テーブル19[[#This Row],[正確性]:[情報開示適切性]])</f>
        <v>#DIV/0!</v>
      </c>
    </row>
    <row r="66" spans="1:14">
      <c r="A66">
        <v>500</v>
      </c>
      <c r="B66">
        <v>200</v>
      </c>
      <c r="C66">
        <v>7</v>
      </c>
      <c r="D66" t="s">
        <v>40</v>
      </c>
      <c r="E66" t="s">
        <v>17</v>
      </c>
      <c r="G66" t="s">
        <v>36</v>
      </c>
      <c r="M66">
        <f>SUM(テーブル19[[#This Row],[正確性]:[情報開示適切性]])</f>
        <v>0</v>
      </c>
      <c r="N66" t="e">
        <f>AVERAGE(テーブル19[[#This Row],[正確性]:[情報開示適切性]])</f>
        <v>#DIV/0!</v>
      </c>
    </row>
    <row r="67" spans="1:14">
      <c r="A67">
        <v>500</v>
      </c>
      <c r="B67">
        <v>200</v>
      </c>
      <c r="C67">
        <v>8</v>
      </c>
      <c r="D67" t="s">
        <v>40</v>
      </c>
      <c r="E67" t="s">
        <v>18</v>
      </c>
      <c r="G67" t="s">
        <v>36</v>
      </c>
      <c r="M67">
        <f>SUM(テーブル19[[#This Row],[正確性]:[情報開示適切性]])</f>
        <v>0</v>
      </c>
      <c r="N67" t="e">
        <f>AVERAGE(テーブル19[[#This Row],[正確性]:[情報開示適切性]])</f>
        <v>#DIV/0!</v>
      </c>
    </row>
    <row r="68" spans="1:14">
      <c r="A68">
        <v>500</v>
      </c>
      <c r="B68">
        <v>200</v>
      </c>
      <c r="C68">
        <v>9</v>
      </c>
      <c r="D68" t="s">
        <v>40</v>
      </c>
      <c r="E68" t="s">
        <v>19</v>
      </c>
      <c r="G68" t="s">
        <v>36</v>
      </c>
      <c r="M68">
        <f>SUM(テーブル19[[#This Row],[正確性]:[情報開示適切性]])</f>
        <v>0</v>
      </c>
      <c r="N68" t="e">
        <f>AVERAGE(テーブル19[[#This Row],[正確性]:[情報開示適切性]])</f>
        <v>#DIV/0!</v>
      </c>
    </row>
    <row r="69" spans="1:14">
      <c r="A69">
        <v>500</v>
      </c>
      <c r="B69">
        <v>200</v>
      </c>
      <c r="C69">
        <v>10</v>
      </c>
      <c r="D69" t="s">
        <v>40</v>
      </c>
      <c r="E69" t="s">
        <v>20</v>
      </c>
      <c r="G69" t="s">
        <v>36</v>
      </c>
      <c r="M69">
        <f>SUM(テーブル19[[#This Row],[正確性]:[情報開示適切性]])</f>
        <v>0</v>
      </c>
      <c r="N69" t="e">
        <f>AVERAGE(テーブル19[[#This Row],[正確性]:[情報開示適切性]])</f>
        <v>#DIV/0!</v>
      </c>
    </row>
    <row r="70" spans="1:14">
      <c r="A70">
        <v>500</v>
      </c>
      <c r="B70">
        <v>200</v>
      </c>
      <c r="C70">
        <v>11</v>
      </c>
      <c r="D70" t="s">
        <v>39</v>
      </c>
      <c r="E70" t="s">
        <v>21</v>
      </c>
      <c r="G70" t="s">
        <v>36</v>
      </c>
      <c r="M70">
        <f>SUM(テーブル19[[#This Row],[正確性]:[情報開示適切性]])</f>
        <v>0</v>
      </c>
      <c r="N70" t="e">
        <f>AVERAGE(テーブル19[[#This Row],[正確性]:[情報開示適切性]])</f>
        <v>#DIV/0!</v>
      </c>
    </row>
    <row r="71" spans="1:14">
      <c r="A71">
        <v>500</v>
      </c>
      <c r="B71">
        <v>200</v>
      </c>
      <c r="C71">
        <v>12</v>
      </c>
      <c r="D71" t="s">
        <v>39</v>
      </c>
      <c r="E71" t="s">
        <v>22</v>
      </c>
      <c r="G71" t="s">
        <v>36</v>
      </c>
      <c r="M71">
        <f>SUM(テーブル19[[#This Row],[正確性]:[情報開示適切性]])</f>
        <v>0</v>
      </c>
      <c r="N71" t="e">
        <f>AVERAGE(テーブル19[[#This Row],[正確性]:[情報開示適切性]])</f>
        <v>#DIV/0!</v>
      </c>
    </row>
    <row r="72" spans="1:14">
      <c r="A72">
        <v>500</v>
      </c>
      <c r="B72">
        <v>200</v>
      </c>
      <c r="C72">
        <v>13</v>
      </c>
      <c r="D72" t="s">
        <v>39</v>
      </c>
      <c r="E72" t="s">
        <v>23</v>
      </c>
      <c r="G72" t="s">
        <v>36</v>
      </c>
      <c r="M72">
        <f>SUM(テーブル19[[#This Row],[正確性]:[情報開示適切性]])</f>
        <v>0</v>
      </c>
      <c r="N72" t="e">
        <f>AVERAGE(テーブル19[[#This Row],[正確性]:[情報開示適切性]])</f>
        <v>#DIV/0!</v>
      </c>
    </row>
    <row r="73" spans="1:14">
      <c r="A73">
        <v>500</v>
      </c>
      <c r="B73">
        <v>200</v>
      </c>
      <c r="C73">
        <v>14</v>
      </c>
      <c r="D73" t="s">
        <v>39</v>
      </c>
      <c r="E73" t="s">
        <v>24</v>
      </c>
      <c r="G73" t="s">
        <v>36</v>
      </c>
      <c r="M73">
        <f>SUM(テーブル19[[#This Row],[正確性]:[情報開示適切性]])</f>
        <v>0</v>
      </c>
      <c r="N73" t="e">
        <f>AVERAGE(テーブル19[[#This Row],[正確性]:[情報開示適切性]])</f>
        <v>#DIV/0!</v>
      </c>
    </row>
    <row r="74" spans="1:14">
      <c r="A74">
        <v>500</v>
      </c>
      <c r="B74">
        <v>200</v>
      </c>
      <c r="C74">
        <v>15</v>
      </c>
      <c r="D74" t="s">
        <v>39</v>
      </c>
      <c r="E74" t="s">
        <v>25</v>
      </c>
      <c r="G74" t="s">
        <v>36</v>
      </c>
      <c r="M74">
        <f>SUM(テーブル19[[#This Row],[正確性]:[情報開示適切性]])</f>
        <v>0</v>
      </c>
      <c r="N74" t="e">
        <f>AVERAGE(テーブル19[[#This Row],[正確性]:[情報開示適切性]])</f>
        <v>#DIV/0!</v>
      </c>
    </row>
    <row r="75" spans="1:14">
      <c r="A75">
        <v>500</v>
      </c>
      <c r="B75">
        <v>200</v>
      </c>
      <c r="C75">
        <v>16</v>
      </c>
      <c r="D75" t="s">
        <v>41</v>
      </c>
      <c r="E75" t="s">
        <v>26</v>
      </c>
      <c r="G75" t="s">
        <v>36</v>
      </c>
      <c r="M75">
        <f>SUM(テーブル19[[#This Row],[正確性]:[情報開示適切性]])</f>
        <v>0</v>
      </c>
      <c r="N75" t="e">
        <f>AVERAGE(テーブル19[[#This Row],[正確性]:[情報開示適切性]])</f>
        <v>#DIV/0!</v>
      </c>
    </row>
    <row r="76" spans="1:14">
      <c r="A76">
        <v>500</v>
      </c>
      <c r="B76">
        <v>200</v>
      </c>
      <c r="C76">
        <v>17</v>
      </c>
      <c r="D76" t="s">
        <v>41</v>
      </c>
      <c r="E76" t="s">
        <v>27</v>
      </c>
      <c r="G76" t="s">
        <v>36</v>
      </c>
      <c r="M76">
        <f>SUM(テーブル19[[#This Row],[正確性]:[情報開示適切性]])</f>
        <v>0</v>
      </c>
      <c r="N76" t="e">
        <f>AVERAGE(テーブル19[[#This Row],[正確性]:[情報開示適切性]])</f>
        <v>#DIV/0!</v>
      </c>
    </row>
    <row r="77" spans="1:14">
      <c r="A77">
        <v>500</v>
      </c>
      <c r="B77">
        <v>200</v>
      </c>
      <c r="C77">
        <v>18</v>
      </c>
      <c r="D77" t="s">
        <v>41</v>
      </c>
      <c r="E77" t="s">
        <v>28</v>
      </c>
      <c r="G77" t="s">
        <v>36</v>
      </c>
      <c r="M77">
        <f>SUM(テーブル19[[#This Row],[正確性]:[情報開示適切性]])</f>
        <v>0</v>
      </c>
      <c r="N77" t="e">
        <f>AVERAGE(テーブル19[[#This Row],[正確性]:[情報開示適切性]])</f>
        <v>#DIV/0!</v>
      </c>
    </row>
    <row r="78" spans="1:14">
      <c r="A78">
        <v>500</v>
      </c>
      <c r="B78">
        <v>200</v>
      </c>
      <c r="C78">
        <v>19</v>
      </c>
      <c r="D78" t="s">
        <v>41</v>
      </c>
      <c r="E78" t="s">
        <v>29</v>
      </c>
      <c r="G78" t="s">
        <v>36</v>
      </c>
      <c r="M78">
        <f>SUM(テーブル19[[#This Row],[正確性]:[情報開示適切性]])</f>
        <v>0</v>
      </c>
      <c r="N78" t="e">
        <f>AVERAGE(テーブル19[[#This Row],[正確性]:[情報開示適切性]])</f>
        <v>#DIV/0!</v>
      </c>
    </row>
    <row r="79" spans="1:14">
      <c r="A79">
        <v>500</v>
      </c>
      <c r="B79">
        <v>200</v>
      </c>
      <c r="C79">
        <v>20</v>
      </c>
      <c r="D79" t="s">
        <v>41</v>
      </c>
      <c r="E79" t="s">
        <v>30</v>
      </c>
      <c r="G79" t="s">
        <v>36</v>
      </c>
      <c r="M79">
        <f>SUM(テーブル19[[#This Row],[正確性]:[情報開示適切性]])</f>
        <v>0</v>
      </c>
      <c r="N79" t="e">
        <f>AVERAGE(テーブル19[[#This Row],[正確性]:[情報開示適切性]])</f>
        <v>#DIV/0!</v>
      </c>
    </row>
    <row r="80" spans="1:14">
      <c r="A80">
        <v>500</v>
      </c>
      <c r="B80">
        <v>200</v>
      </c>
      <c r="C80">
        <v>21</v>
      </c>
      <c r="D80" t="s">
        <v>42</v>
      </c>
      <c r="E80" t="s">
        <v>31</v>
      </c>
      <c r="G80" t="s">
        <v>36</v>
      </c>
      <c r="M80">
        <f>SUM(テーブル19[[#This Row],[正確性]:[情報開示適切性]])</f>
        <v>0</v>
      </c>
      <c r="N80" t="e">
        <f>AVERAGE(テーブル19[[#This Row],[正確性]:[情報開示適切性]])</f>
        <v>#DIV/0!</v>
      </c>
    </row>
    <row r="81" spans="1:14">
      <c r="A81">
        <v>500</v>
      </c>
      <c r="B81">
        <v>200</v>
      </c>
      <c r="C81">
        <v>22</v>
      </c>
      <c r="D81" t="s">
        <v>42</v>
      </c>
      <c r="E81" t="s">
        <v>32</v>
      </c>
      <c r="G81" t="s">
        <v>36</v>
      </c>
      <c r="M81">
        <f>SUM(テーブル19[[#This Row],[正確性]:[情報開示適切性]])</f>
        <v>0</v>
      </c>
      <c r="N81" t="e">
        <f>AVERAGE(テーブル19[[#This Row],[正確性]:[情報開示適切性]])</f>
        <v>#DIV/0!</v>
      </c>
    </row>
    <row r="82" spans="1:14">
      <c r="A82">
        <v>500</v>
      </c>
      <c r="B82">
        <v>200</v>
      </c>
      <c r="C82">
        <v>23</v>
      </c>
      <c r="D82" t="s">
        <v>42</v>
      </c>
      <c r="E82" t="s">
        <v>33</v>
      </c>
      <c r="G82" t="s">
        <v>36</v>
      </c>
      <c r="M82">
        <f>SUM(テーブル19[[#This Row],[正確性]:[情報開示適切性]])</f>
        <v>0</v>
      </c>
      <c r="N82" t="e">
        <f>AVERAGE(テーブル19[[#This Row],[正確性]:[情報開示適切性]])</f>
        <v>#DIV/0!</v>
      </c>
    </row>
    <row r="83" spans="1:14">
      <c r="A83">
        <v>500</v>
      </c>
      <c r="B83">
        <v>200</v>
      </c>
      <c r="C83">
        <v>24</v>
      </c>
      <c r="D83" t="s">
        <v>42</v>
      </c>
      <c r="E83" t="s">
        <v>34</v>
      </c>
      <c r="G83" t="s">
        <v>36</v>
      </c>
      <c r="M83">
        <f>SUM(テーブル19[[#This Row],[正確性]:[情報開示適切性]])</f>
        <v>0</v>
      </c>
      <c r="N83" t="e">
        <f>AVERAGE(テーブル19[[#This Row],[正確性]:[情報開示適切性]])</f>
        <v>#DIV/0!</v>
      </c>
    </row>
    <row r="84" spans="1:14">
      <c r="A84">
        <v>500</v>
      </c>
      <c r="B84">
        <v>200</v>
      </c>
      <c r="C84">
        <v>25</v>
      </c>
      <c r="D84" t="s">
        <v>42</v>
      </c>
      <c r="E84" t="s">
        <v>35</v>
      </c>
      <c r="G84" t="s">
        <v>36</v>
      </c>
      <c r="M84">
        <f>SUM(テーブル19[[#This Row],[正確性]:[情報開示適切性]])</f>
        <v>0</v>
      </c>
      <c r="N84" t="e">
        <f>AVERAGE(テーブル19[[#This Row],[正確性]:[情報開示適切性]])</f>
        <v>#DIV/0!</v>
      </c>
    </row>
  </sheetData>
  <phoneticPr fontId="1"/>
  <conditionalFormatting sqref="G2:L26">
    <cfRule type="colorScale" priority="3">
      <colorScale>
        <cfvo type="min"/>
        <cfvo type="percentile" val="1"/>
        <cfvo type="max"/>
        <color rgb="FFF8696B"/>
        <color rgb="FFFFEB84"/>
        <color rgb="FF63BE7B"/>
      </colorScale>
    </cfRule>
  </conditionalFormatting>
  <conditionalFormatting sqref="N2:N26">
    <cfRule type="colorScale" priority="1">
      <colorScale>
        <cfvo type="min"/>
        <cfvo type="percentile" val="50"/>
        <cfvo type="max"/>
        <color rgb="FFF8696B"/>
        <color rgb="FFFFEB84"/>
        <color rgb="FF63BE7B"/>
      </colorScale>
    </cfRule>
    <cfRule type="colorScale" priority="2">
      <colorScale>
        <cfvo type="min"/>
        <cfvo type="max"/>
        <color rgb="FFF8696B"/>
        <color rgb="FF63BE7B"/>
      </colorScale>
    </cfRule>
  </conditionalFormatting>
  <pageMargins left="0.7" right="0.7" top="0.75" bottom="0.75" header="0.3" footer="0.3"/>
  <pageSetup paperSize="9" orientation="portrait" horizontalDpi="4294967293" verticalDpi="0" r:id="rId1"/>
  <legacyDrawing r:id="rId2"/>
  <tableParts count="3">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C718E-A1D8-4C2B-B4D7-38B19AE9364B}">
  <dimension ref="A1:O84"/>
  <sheetViews>
    <sheetView topLeftCell="A68" workbookViewId="0">
      <selection activeCell="A60" sqref="A60:A84"/>
    </sheetView>
  </sheetViews>
  <sheetFormatPr defaultRowHeight="18"/>
  <sheetData>
    <row r="1" spans="1:15">
      <c r="A1" t="s">
        <v>0</v>
      </c>
      <c r="B1" t="s">
        <v>1</v>
      </c>
      <c r="C1" t="s">
        <v>2</v>
      </c>
      <c r="D1" t="s">
        <v>37</v>
      </c>
      <c r="E1" t="s">
        <v>3</v>
      </c>
      <c r="F1" t="s">
        <v>43</v>
      </c>
      <c r="G1" t="s">
        <v>4</v>
      </c>
      <c r="H1" t="s">
        <v>5</v>
      </c>
      <c r="I1" t="s">
        <v>6</v>
      </c>
      <c r="J1" t="s">
        <v>7</v>
      </c>
      <c r="K1" t="s">
        <v>8</v>
      </c>
      <c r="L1" t="s">
        <v>44</v>
      </c>
      <c r="M1" t="s">
        <v>9</v>
      </c>
      <c r="N1" t="s">
        <v>10</v>
      </c>
      <c r="O1" t="s">
        <v>45</v>
      </c>
    </row>
    <row r="2" spans="1:15">
      <c r="A2">
        <v>1000</v>
      </c>
      <c r="B2">
        <v>50</v>
      </c>
      <c r="C2">
        <v>1</v>
      </c>
      <c r="D2" t="s">
        <v>38</v>
      </c>
      <c r="E2" t="s">
        <v>11</v>
      </c>
      <c r="F2" s="1"/>
      <c r="G2" t="s">
        <v>36</v>
      </c>
      <c r="H2" t="s">
        <v>36</v>
      </c>
      <c r="I2" t="s">
        <v>36</v>
      </c>
      <c r="J2" t="s">
        <v>36</v>
      </c>
      <c r="K2" t="s">
        <v>36</v>
      </c>
      <c r="L2" t="s">
        <v>36</v>
      </c>
      <c r="M2">
        <f>SUM(テーブル110[[#This Row],[正確性]:[情報開示適切性]])</f>
        <v>0</v>
      </c>
      <c r="N2" t="e">
        <f>AVERAGE(テーブル110[[#This Row],[正確性]:[情報開示適切性]])</f>
        <v>#DIV/0!</v>
      </c>
    </row>
    <row r="3" spans="1:15">
      <c r="A3">
        <v>1000</v>
      </c>
      <c r="B3">
        <v>50</v>
      </c>
      <c r="C3">
        <v>2</v>
      </c>
      <c r="D3" t="s">
        <v>38</v>
      </c>
      <c r="E3" t="s">
        <v>12</v>
      </c>
      <c r="G3" t="s">
        <v>36</v>
      </c>
      <c r="M3">
        <f>SUM(テーブル110[[#This Row],[正確性]:[情報開示適切性]])</f>
        <v>0</v>
      </c>
      <c r="N3" t="e">
        <f>AVERAGE(テーブル110[[#This Row],[正確性]:[情報開示適切性]])</f>
        <v>#DIV/0!</v>
      </c>
    </row>
    <row r="4" spans="1:15">
      <c r="A4">
        <v>1000</v>
      </c>
      <c r="B4">
        <v>50</v>
      </c>
      <c r="C4">
        <v>3</v>
      </c>
      <c r="D4" t="s">
        <v>38</v>
      </c>
      <c r="E4" t="s">
        <v>13</v>
      </c>
      <c r="G4" t="s">
        <v>36</v>
      </c>
      <c r="M4">
        <f>SUM(テーブル110[[#This Row],[正確性]:[情報開示適切性]])</f>
        <v>0</v>
      </c>
      <c r="N4" t="e">
        <f>AVERAGE(テーブル110[[#This Row],[正確性]:[情報開示適切性]])</f>
        <v>#DIV/0!</v>
      </c>
    </row>
    <row r="5" spans="1:15">
      <c r="A5">
        <v>1000</v>
      </c>
      <c r="B5">
        <v>50</v>
      </c>
      <c r="C5">
        <v>4</v>
      </c>
      <c r="D5" t="s">
        <v>38</v>
      </c>
      <c r="E5" t="s">
        <v>14</v>
      </c>
      <c r="G5" t="s">
        <v>36</v>
      </c>
      <c r="M5">
        <f>SUM(テーブル110[[#This Row],[正確性]:[情報開示適切性]])</f>
        <v>0</v>
      </c>
      <c r="N5" t="e">
        <f>AVERAGE(テーブル110[[#This Row],[正確性]:[情報開示適切性]])</f>
        <v>#DIV/0!</v>
      </c>
    </row>
    <row r="6" spans="1:15">
      <c r="A6">
        <v>1000</v>
      </c>
      <c r="B6">
        <v>50</v>
      </c>
      <c r="C6">
        <v>5</v>
      </c>
      <c r="D6" t="s">
        <v>38</v>
      </c>
      <c r="E6" t="s">
        <v>15</v>
      </c>
      <c r="G6" t="s">
        <v>36</v>
      </c>
      <c r="M6">
        <f>SUM(テーブル110[[#This Row],[正確性]:[情報開示適切性]])</f>
        <v>0</v>
      </c>
      <c r="N6" t="e">
        <f>AVERAGE(テーブル110[[#This Row],[正確性]:[情報開示適切性]])</f>
        <v>#DIV/0!</v>
      </c>
    </row>
    <row r="7" spans="1:15">
      <c r="A7">
        <v>1000</v>
      </c>
      <c r="B7">
        <v>50</v>
      </c>
      <c r="C7">
        <v>6</v>
      </c>
      <c r="D7" t="s">
        <v>40</v>
      </c>
      <c r="E7" t="s">
        <v>16</v>
      </c>
      <c r="G7" t="s">
        <v>36</v>
      </c>
      <c r="M7">
        <f>SUM(テーブル110[[#This Row],[正確性]:[情報開示適切性]])</f>
        <v>0</v>
      </c>
      <c r="N7" t="e">
        <f>AVERAGE(テーブル110[[#This Row],[正確性]:[情報開示適切性]])</f>
        <v>#DIV/0!</v>
      </c>
    </row>
    <row r="8" spans="1:15">
      <c r="A8">
        <v>1000</v>
      </c>
      <c r="B8">
        <v>50</v>
      </c>
      <c r="C8">
        <v>7</v>
      </c>
      <c r="D8" t="s">
        <v>40</v>
      </c>
      <c r="E8" t="s">
        <v>17</v>
      </c>
      <c r="G8" t="s">
        <v>36</v>
      </c>
      <c r="M8">
        <f>SUM(テーブル110[[#This Row],[正確性]:[情報開示適切性]])</f>
        <v>0</v>
      </c>
      <c r="N8" t="e">
        <f>AVERAGE(テーブル110[[#This Row],[正確性]:[情報開示適切性]])</f>
        <v>#DIV/0!</v>
      </c>
    </row>
    <row r="9" spans="1:15">
      <c r="A9">
        <v>1000</v>
      </c>
      <c r="B9">
        <v>50</v>
      </c>
      <c r="C9">
        <v>8</v>
      </c>
      <c r="D9" t="s">
        <v>40</v>
      </c>
      <c r="E9" t="s">
        <v>18</v>
      </c>
      <c r="G9" t="s">
        <v>36</v>
      </c>
      <c r="M9">
        <f>SUM(テーブル110[[#This Row],[正確性]:[情報開示適切性]])</f>
        <v>0</v>
      </c>
      <c r="N9" t="e">
        <f>AVERAGE(テーブル110[[#This Row],[正確性]:[情報開示適切性]])</f>
        <v>#DIV/0!</v>
      </c>
    </row>
    <row r="10" spans="1:15">
      <c r="A10">
        <v>1000</v>
      </c>
      <c r="B10">
        <v>50</v>
      </c>
      <c r="C10">
        <v>9</v>
      </c>
      <c r="D10" t="s">
        <v>40</v>
      </c>
      <c r="E10" t="s">
        <v>19</v>
      </c>
      <c r="G10" t="s">
        <v>36</v>
      </c>
      <c r="M10">
        <f>SUM(テーブル110[[#This Row],[正確性]:[情報開示適切性]])</f>
        <v>0</v>
      </c>
      <c r="N10" t="e">
        <f>AVERAGE(テーブル110[[#This Row],[正確性]:[情報開示適切性]])</f>
        <v>#DIV/0!</v>
      </c>
    </row>
    <row r="11" spans="1:15">
      <c r="A11">
        <v>1000</v>
      </c>
      <c r="B11">
        <v>50</v>
      </c>
      <c r="C11">
        <v>10</v>
      </c>
      <c r="D11" t="s">
        <v>40</v>
      </c>
      <c r="E11" t="s">
        <v>20</v>
      </c>
      <c r="G11" t="s">
        <v>36</v>
      </c>
      <c r="M11">
        <f>SUM(テーブル110[[#This Row],[正確性]:[情報開示適切性]])</f>
        <v>0</v>
      </c>
      <c r="N11" t="e">
        <f>AVERAGE(テーブル110[[#This Row],[正確性]:[情報開示適切性]])</f>
        <v>#DIV/0!</v>
      </c>
    </row>
    <row r="12" spans="1:15">
      <c r="A12">
        <v>1000</v>
      </c>
      <c r="B12">
        <v>50</v>
      </c>
      <c r="C12">
        <v>11</v>
      </c>
      <c r="D12" t="s">
        <v>39</v>
      </c>
      <c r="E12" t="s">
        <v>21</v>
      </c>
      <c r="G12" t="s">
        <v>36</v>
      </c>
      <c r="M12">
        <f>SUM(テーブル110[[#This Row],[正確性]:[情報開示適切性]])</f>
        <v>0</v>
      </c>
      <c r="N12" t="e">
        <f>AVERAGE(テーブル110[[#This Row],[正確性]:[情報開示適切性]])</f>
        <v>#DIV/0!</v>
      </c>
    </row>
    <row r="13" spans="1:15">
      <c r="A13">
        <v>1000</v>
      </c>
      <c r="B13">
        <v>50</v>
      </c>
      <c r="C13">
        <v>12</v>
      </c>
      <c r="D13" t="s">
        <v>39</v>
      </c>
      <c r="E13" t="s">
        <v>22</v>
      </c>
      <c r="G13" t="s">
        <v>36</v>
      </c>
      <c r="M13">
        <f>SUM(テーブル110[[#This Row],[正確性]:[情報開示適切性]])</f>
        <v>0</v>
      </c>
      <c r="N13" t="e">
        <f>AVERAGE(テーブル110[[#This Row],[正確性]:[情報開示適切性]])</f>
        <v>#DIV/0!</v>
      </c>
    </row>
    <row r="14" spans="1:15">
      <c r="A14">
        <v>1000</v>
      </c>
      <c r="B14">
        <v>50</v>
      </c>
      <c r="C14">
        <v>13</v>
      </c>
      <c r="D14" t="s">
        <v>39</v>
      </c>
      <c r="E14" t="s">
        <v>23</v>
      </c>
      <c r="G14" t="s">
        <v>36</v>
      </c>
      <c r="M14">
        <f>SUM(テーブル110[[#This Row],[正確性]:[情報開示適切性]])</f>
        <v>0</v>
      </c>
      <c r="N14" t="e">
        <f>AVERAGE(テーブル110[[#This Row],[正確性]:[情報開示適切性]])</f>
        <v>#DIV/0!</v>
      </c>
    </row>
    <row r="15" spans="1:15">
      <c r="A15">
        <v>1000</v>
      </c>
      <c r="B15">
        <v>50</v>
      </c>
      <c r="C15">
        <v>14</v>
      </c>
      <c r="D15" t="s">
        <v>39</v>
      </c>
      <c r="E15" t="s">
        <v>24</v>
      </c>
      <c r="G15" t="s">
        <v>36</v>
      </c>
      <c r="M15">
        <f>SUM(テーブル110[[#This Row],[正確性]:[情報開示適切性]])</f>
        <v>0</v>
      </c>
      <c r="N15" t="e">
        <f>AVERAGE(テーブル110[[#This Row],[正確性]:[情報開示適切性]])</f>
        <v>#DIV/0!</v>
      </c>
    </row>
    <row r="16" spans="1:15">
      <c r="A16">
        <v>1000</v>
      </c>
      <c r="B16">
        <v>50</v>
      </c>
      <c r="C16">
        <v>15</v>
      </c>
      <c r="D16" t="s">
        <v>39</v>
      </c>
      <c r="E16" t="s">
        <v>25</v>
      </c>
      <c r="G16" t="s">
        <v>36</v>
      </c>
      <c r="M16">
        <f>SUM(テーブル110[[#This Row],[正確性]:[情報開示適切性]])</f>
        <v>0</v>
      </c>
      <c r="N16" t="e">
        <f>AVERAGE(テーブル110[[#This Row],[正確性]:[情報開示適切性]])</f>
        <v>#DIV/0!</v>
      </c>
    </row>
    <row r="17" spans="1:15">
      <c r="A17">
        <v>1000</v>
      </c>
      <c r="B17">
        <v>50</v>
      </c>
      <c r="C17">
        <v>16</v>
      </c>
      <c r="D17" t="s">
        <v>41</v>
      </c>
      <c r="E17" t="s">
        <v>26</v>
      </c>
      <c r="G17" t="s">
        <v>36</v>
      </c>
      <c r="M17">
        <f>SUM(テーブル110[[#This Row],[正確性]:[情報開示適切性]])</f>
        <v>0</v>
      </c>
      <c r="N17" t="e">
        <f>AVERAGE(テーブル110[[#This Row],[正確性]:[情報開示適切性]])</f>
        <v>#DIV/0!</v>
      </c>
    </row>
    <row r="18" spans="1:15">
      <c r="A18">
        <v>1000</v>
      </c>
      <c r="B18">
        <v>50</v>
      </c>
      <c r="C18">
        <v>17</v>
      </c>
      <c r="D18" t="s">
        <v>41</v>
      </c>
      <c r="E18" t="s">
        <v>27</v>
      </c>
      <c r="G18" t="s">
        <v>36</v>
      </c>
      <c r="M18">
        <f>SUM(テーブル110[[#This Row],[正確性]:[情報開示適切性]])</f>
        <v>0</v>
      </c>
      <c r="N18" t="e">
        <f>AVERAGE(テーブル110[[#This Row],[正確性]:[情報開示適切性]])</f>
        <v>#DIV/0!</v>
      </c>
    </row>
    <row r="19" spans="1:15">
      <c r="A19">
        <v>1000</v>
      </c>
      <c r="B19">
        <v>50</v>
      </c>
      <c r="C19">
        <v>18</v>
      </c>
      <c r="D19" t="s">
        <v>41</v>
      </c>
      <c r="E19" t="s">
        <v>28</v>
      </c>
      <c r="G19" t="s">
        <v>36</v>
      </c>
      <c r="M19">
        <f>SUM(テーブル110[[#This Row],[正確性]:[情報開示適切性]])</f>
        <v>0</v>
      </c>
      <c r="N19" t="e">
        <f>AVERAGE(テーブル110[[#This Row],[正確性]:[情報開示適切性]])</f>
        <v>#DIV/0!</v>
      </c>
    </row>
    <row r="20" spans="1:15">
      <c r="A20">
        <v>1000</v>
      </c>
      <c r="B20">
        <v>50</v>
      </c>
      <c r="C20">
        <v>19</v>
      </c>
      <c r="D20" t="s">
        <v>41</v>
      </c>
      <c r="E20" t="s">
        <v>29</v>
      </c>
      <c r="G20" t="s">
        <v>36</v>
      </c>
      <c r="M20">
        <f>SUM(テーブル110[[#This Row],[正確性]:[情報開示適切性]])</f>
        <v>0</v>
      </c>
      <c r="N20" t="e">
        <f>AVERAGE(テーブル110[[#This Row],[正確性]:[情報開示適切性]])</f>
        <v>#DIV/0!</v>
      </c>
    </row>
    <row r="21" spans="1:15">
      <c r="A21">
        <v>1000</v>
      </c>
      <c r="B21">
        <v>50</v>
      </c>
      <c r="C21">
        <v>20</v>
      </c>
      <c r="D21" t="s">
        <v>41</v>
      </c>
      <c r="E21" t="s">
        <v>30</v>
      </c>
      <c r="G21" t="s">
        <v>36</v>
      </c>
      <c r="M21">
        <f>SUM(テーブル110[[#This Row],[正確性]:[情報開示適切性]])</f>
        <v>0</v>
      </c>
      <c r="N21" t="e">
        <f>AVERAGE(テーブル110[[#This Row],[正確性]:[情報開示適切性]])</f>
        <v>#DIV/0!</v>
      </c>
    </row>
    <row r="22" spans="1:15">
      <c r="A22">
        <v>1000</v>
      </c>
      <c r="B22">
        <v>50</v>
      </c>
      <c r="C22">
        <v>21</v>
      </c>
      <c r="D22" t="s">
        <v>42</v>
      </c>
      <c r="E22" t="s">
        <v>31</v>
      </c>
      <c r="G22" t="s">
        <v>36</v>
      </c>
      <c r="M22">
        <f>SUM(テーブル110[[#This Row],[正確性]:[情報開示適切性]])</f>
        <v>0</v>
      </c>
      <c r="N22" t="e">
        <f>AVERAGE(テーブル110[[#This Row],[正確性]:[情報開示適切性]])</f>
        <v>#DIV/0!</v>
      </c>
    </row>
    <row r="23" spans="1:15">
      <c r="A23">
        <v>1000</v>
      </c>
      <c r="B23">
        <v>50</v>
      </c>
      <c r="C23">
        <v>22</v>
      </c>
      <c r="D23" t="s">
        <v>42</v>
      </c>
      <c r="E23" t="s">
        <v>32</v>
      </c>
      <c r="G23" t="s">
        <v>36</v>
      </c>
      <c r="M23">
        <f>SUM(テーブル110[[#This Row],[正確性]:[情報開示適切性]])</f>
        <v>0</v>
      </c>
      <c r="N23" t="e">
        <f>AVERAGE(テーブル110[[#This Row],[正確性]:[情報開示適切性]])</f>
        <v>#DIV/0!</v>
      </c>
    </row>
    <row r="24" spans="1:15">
      <c r="A24">
        <v>1000</v>
      </c>
      <c r="B24">
        <v>50</v>
      </c>
      <c r="C24">
        <v>23</v>
      </c>
      <c r="D24" t="s">
        <v>42</v>
      </c>
      <c r="E24" t="s">
        <v>33</v>
      </c>
      <c r="G24" t="s">
        <v>36</v>
      </c>
      <c r="M24">
        <f>SUM(テーブル110[[#This Row],[正確性]:[情報開示適切性]])</f>
        <v>0</v>
      </c>
      <c r="N24" t="e">
        <f>AVERAGE(テーブル110[[#This Row],[正確性]:[情報開示適切性]])</f>
        <v>#DIV/0!</v>
      </c>
    </row>
    <row r="25" spans="1:15">
      <c r="A25">
        <v>1000</v>
      </c>
      <c r="B25">
        <v>50</v>
      </c>
      <c r="C25">
        <v>24</v>
      </c>
      <c r="D25" t="s">
        <v>42</v>
      </c>
      <c r="E25" t="s">
        <v>34</v>
      </c>
      <c r="G25" t="s">
        <v>36</v>
      </c>
      <c r="M25">
        <f>SUM(テーブル110[[#This Row],[正確性]:[情報開示適切性]])</f>
        <v>0</v>
      </c>
      <c r="N25" t="e">
        <f>AVERAGE(テーブル110[[#This Row],[正確性]:[情報開示適切性]])</f>
        <v>#DIV/0!</v>
      </c>
    </row>
    <row r="26" spans="1:15">
      <c r="A26">
        <v>1000</v>
      </c>
      <c r="B26">
        <v>50</v>
      </c>
      <c r="C26">
        <v>25</v>
      </c>
      <c r="D26" t="s">
        <v>42</v>
      </c>
      <c r="E26" t="s">
        <v>35</v>
      </c>
      <c r="G26" t="s">
        <v>36</v>
      </c>
      <c r="M26">
        <f>SUM(テーブル110[[#This Row],[正確性]:[情報開示適切性]])</f>
        <v>0</v>
      </c>
      <c r="N26" t="e">
        <f>AVERAGE(テーブル110[[#This Row],[正確性]:[情報開示適切性]])</f>
        <v>#DIV/0!</v>
      </c>
    </row>
    <row r="30" spans="1:15">
      <c r="A30" t="s">
        <v>0</v>
      </c>
      <c r="B30" t="s">
        <v>1</v>
      </c>
      <c r="C30" t="s">
        <v>2</v>
      </c>
      <c r="D30" t="s">
        <v>37</v>
      </c>
      <c r="E30" t="s">
        <v>3</v>
      </c>
      <c r="F30" t="s">
        <v>43</v>
      </c>
      <c r="G30" t="s">
        <v>4</v>
      </c>
      <c r="H30" t="s">
        <v>5</v>
      </c>
      <c r="I30" t="s">
        <v>6</v>
      </c>
      <c r="J30" t="s">
        <v>7</v>
      </c>
      <c r="K30" t="s">
        <v>8</v>
      </c>
      <c r="L30" t="s">
        <v>44</v>
      </c>
      <c r="M30" t="s">
        <v>9</v>
      </c>
      <c r="N30" t="s">
        <v>10</v>
      </c>
      <c r="O30" t="s">
        <v>45</v>
      </c>
    </row>
    <row r="31" spans="1:15">
      <c r="A31">
        <v>1000</v>
      </c>
      <c r="B31">
        <v>50</v>
      </c>
      <c r="C31">
        <v>1</v>
      </c>
      <c r="D31" t="s">
        <v>38</v>
      </c>
      <c r="E31" t="s">
        <v>11</v>
      </c>
      <c r="F31" s="1"/>
      <c r="G31" t="s">
        <v>36</v>
      </c>
      <c r="H31" t="s">
        <v>36</v>
      </c>
      <c r="I31" t="s">
        <v>36</v>
      </c>
      <c r="J31" t="s">
        <v>36</v>
      </c>
      <c r="K31" t="s">
        <v>36</v>
      </c>
      <c r="L31" t="s">
        <v>36</v>
      </c>
      <c r="M31">
        <f>SUM(テーブル113[[#This Row],[正確性]:[情報開示適切性]])</f>
        <v>0</v>
      </c>
      <c r="N31" t="e">
        <f>AVERAGE(テーブル113[[#This Row],[正確性]:[情報開示適切性]])</f>
        <v>#DIV/0!</v>
      </c>
    </row>
    <row r="32" spans="1:15">
      <c r="A32">
        <v>1000</v>
      </c>
      <c r="B32">
        <v>50</v>
      </c>
      <c r="C32">
        <v>2</v>
      </c>
      <c r="D32" t="s">
        <v>38</v>
      </c>
      <c r="E32" t="s">
        <v>12</v>
      </c>
      <c r="G32" t="s">
        <v>36</v>
      </c>
      <c r="M32">
        <f>SUM(テーブル113[[#This Row],[正確性]:[情報開示適切性]])</f>
        <v>0</v>
      </c>
      <c r="N32" t="e">
        <f>AVERAGE(テーブル113[[#This Row],[正確性]:[情報開示適切性]])</f>
        <v>#DIV/0!</v>
      </c>
    </row>
    <row r="33" spans="1:14">
      <c r="A33">
        <v>1000</v>
      </c>
      <c r="B33">
        <v>50</v>
      </c>
      <c r="C33">
        <v>3</v>
      </c>
      <c r="D33" t="s">
        <v>38</v>
      </c>
      <c r="E33" t="s">
        <v>13</v>
      </c>
      <c r="G33" t="s">
        <v>36</v>
      </c>
      <c r="M33">
        <f>SUM(テーブル113[[#This Row],[正確性]:[情報開示適切性]])</f>
        <v>0</v>
      </c>
      <c r="N33" t="e">
        <f>AVERAGE(テーブル113[[#This Row],[正確性]:[情報開示適切性]])</f>
        <v>#DIV/0!</v>
      </c>
    </row>
    <row r="34" spans="1:14">
      <c r="A34">
        <v>1000</v>
      </c>
      <c r="B34">
        <v>50</v>
      </c>
      <c r="C34">
        <v>4</v>
      </c>
      <c r="D34" t="s">
        <v>38</v>
      </c>
      <c r="E34" t="s">
        <v>14</v>
      </c>
      <c r="G34" t="s">
        <v>36</v>
      </c>
      <c r="M34">
        <f>SUM(テーブル113[[#This Row],[正確性]:[情報開示適切性]])</f>
        <v>0</v>
      </c>
      <c r="N34" t="e">
        <f>AVERAGE(テーブル113[[#This Row],[正確性]:[情報開示適切性]])</f>
        <v>#DIV/0!</v>
      </c>
    </row>
    <row r="35" spans="1:14">
      <c r="A35">
        <v>1000</v>
      </c>
      <c r="B35">
        <v>50</v>
      </c>
      <c r="C35">
        <v>5</v>
      </c>
      <c r="D35" t="s">
        <v>38</v>
      </c>
      <c r="E35" t="s">
        <v>15</v>
      </c>
      <c r="G35" t="s">
        <v>36</v>
      </c>
      <c r="M35">
        <f>SUM(テーブル113[[#This Row],[正確性]:[情報開示適切性]])</f>
        <v>0</v>
      </c>
      <c r="N35" t="e">
        <f>AVERAGE(テーブル113[[#This Row],[正確性]:[情報開示適切性]])</f>
        <v>#DIV/0!</v>
      </c>
    </row>
    <row r="36" spans="1:14">
      <c r="A36">
        <v>1000</v>
      </c>
      <c r="B36">
        <v>50</v>
      </c>
      <c r="C36">
        <v>6</v>
      </c>
      <c r="D36" t="s">
        <v>40</v>
      </c>
      <c r="E36" t="s">
        <v>16</v>
      </c>
      <c r="G36" t="s">
        <v>36</v>
      </c>
      <c r="M36">
        <f>SUM(テーブル113[[#This Row],[正確性]:[情報開示適切性]])</f>
        <v>0</v>
      </c>
      <c r="N36" t="e">
        <f>AVERAGE(テーブル113[[#This Row],[正確性]:[情報開示適切性]])</f>
        <v>#DIV/0!</v>
      </c>
    </row>
    <row r="37" spans="1:14">
      <c r="A37">
        <v>1000</v>
      </c>
      <c r="B37">
        <v>50</v>
      </c>
      <c r="C37">
        <v>7</v>
      </c>
      <c r="D37" t="s">
        <v>40</v>
      </c>
      <c r="E37" t="s">
        <v>17</v>
      </c>
      <c r="G37" t="s">
        <v>36</v>
      </c>
      <c r="M37">
        <f>SUM(テーブル113[[#This Row],[正確性]:[情報開示適切性]])</f>
        <v>0</v>
      </c>
      <c r="N37" t="e">
        <f>AVERAGE(テーブル113[[#This Row],[正確性]:[情報開示適切性]])</f>
        <v>#DIV/0!</v>
      </c>
    </row>
    <row r="38" spans="1:14">
      <c r="A38">
        <v>1000</v>
      </c>
      <c r="B38">
        <v>50</v>
      </c>
      <c r="C38">
        <v>8</v>
      </c>
      <c r="D38" t="s">
        <v>40</v>
      </c>
      <c r="E38" t="s">
        <v>18</v>
      </c>
      <c r="G38" t="s">
        <v>36</v>
      </c>
      <c r="M38">
        <f>SUM(テーブル113[[#This Row],[正確性]:[情報開示適切性]])</f>
        <v>0</v>
      </c>
      <c r="N38" t="e">
        <f>AVERAGE(テーブル113[[#This Row],[正確性]:[情報開示適切性]])</f>
        <v>#DIV/0!</v>
      </c>
    </row>
    <row r="39" spans="1:14">
      <c r="A39">
        <v>1000</v>
      </c>
      <c r="B39">
        <v>50</v>
      </c>
      <c r="C39">
        <v>9</v>
      </c>
      <c r="D39" t="s">
        <v>40</v>
      </c>
      <c r="E39" t="s">
        <v>19</v>
      </c>
      <c r="G39" t="s">
        <v>36</v>
      </c>
      <c r="M39">
        <f>SUM(テーブル113[[#This Row],[正確性]:[情報開示適切性]])</f>
        <v>0</v>
      </c>
      <c r="N39" t="e">
        <f>AVERAGE(テーブル113[[#This Row],[正確性]:[情報開示適切性]])</f>
        <v>#DIV/0!</v>
      </c>
    </row>
    <row r="40" spans="1:14">
      <c r="A40">
        <v>1000</v>
      </c>
      <c r="B40">
        <v>50</v>
      </c>
      <c r="C40">
        <v>10</v>
      </c>
      <c r="D40" t="s">
        <v>40</v>
      </c>
      <c r="E40" t="s">
        <v>20</v>
      </c>
      <c r="G40" t="s">
        <v>36</v>
      </c>
      <c r="M40">
        <f>SUM(テーブル113[[#This Row],[正確性]:[情報開示適切性]])</f>
        <v>0</v>
      </c>
      <c r="N40" t="e">
        <f>AVERAGE(テーブル113[[#This Row],[正確性]:[情報開示適切性]])</f>
        <v>#DIV/0!</v>
      </c>
    </row>
    <row r="41" spans="1:14">
      <c r="A41">
        <v>1000</v>
      </c>
      <c r="B41">
        <v>50</v>
      </c>
      <c r="C41">
        <v>11</v>
      </c>
      <c r="D41" t="s">
        <v>39</v>
      </c>
      <c r="E41" t="s">
        <v>21</v>
      </c>
      <c r="G41" t="s">
        <v>36</v>
      </c>
      <c r="M41">
        <f>SUM(テーブル113[[#This Row],[正確性]:[情報開示適切性]])</f>
        <v>0</v>
      </c>
      <c r="N41" t="e">
        <f>AVERAGE(テーブル113[[#This Row],[正確性]:[情報開示適切性]])</f>
        <v>#DIV/0!</v>
      </c>
    </row>
    <row r="42" spans="1:14">
      <c r="A42">
        <v>1000</v>
      </c>
      <c r="B42">
        <v>50</v>
      </c>
      <c r="C42">
        <v>12</v>
      </c>
      <c r="D42" t="s">
        <v>39</v>
      </c>
      <c r="E42" t="s">
        <v>22</v>
      </c>
      <c r="G42" t="s">
        <v>36</v>
      </c>
      <c r="M42">
        <f>SUM(テーブル113[[#This Row],[正確性]:[情報開示適切性]])</f>
        <v>0</v>
      </c>
      <c r="N42" t="e">
        <f>AVERAGE(テーブル113[[#This Row],[正確性]:[情報開示適切性]])</f>
        <v>#DIV/0!</v>
      </c>
    </row>
    <row r="43" spans="1:14">
      <c r="A43">
        <v>1000</v>
      </c>
      <c r="B43">
        <v>50</v>
      </c>
      <c r="C43">
        <v>13</v>
      </c>
      <c r="D43" t="s">
        <v>39</v>
      </c>
      <c r="E43" t="s">
        <v>23</v>
      </c>
      <c r="G43" t="s">
        <v>36</v>
      </c>
      <c r="M43">
        <f>SUM(テーブル113[[#This Row],[正確性]:[情報開示適切性]])</f>
        <v>0</v>
      </c>
      <c r="N43" t="e">
        <f>AVERAGE(テーブル113[[#This Row],[正確性]:[情報開示適切性]])</f>
        <v>#DIV/0!</v>
      </c>
    </row>
    <row r="44" spans="1:14">
      <c r="A44">
        <v>1000</v>
      </c>
      <c r="B44">
        <v>50</v>
      </c>
      <c r="C44">
        <v>14</v>
      </c>
      <c r="D44" t="s">
        <v>39</v>
      </c>
      <c r="E44" t="s">
        <v>24</v>
      </c>
      <c r="G44" t="s">
        <v>36</v>
      </c>
      <c r="M44">
        <f>SUM(テーブル113[[#This Row],[正確性]:[情報開示適切性]])</f>
        <v>0</v>
      </c>
      <c r="N44" t="e">
        <f>AVERAGE(テーブル113[[#This Row],[正確性]:[情報開示適切性]])</f>
        <v>#DIV/0!</v>
      </c>
    </row>
    <row r="45" spans="1:14">
      <c r="A45">
        <v>1000</v>
      </c>
      <c r="B45">
        <v>50</v>
      </c>
      <c r="C45">
        <v>15</v>
      </c>
      <c r="D45" t="s">
        <v>39</v>
      </c>
      <c r="E45" t="s">
        <v>25</v>
      </c>
      <c r="G45" t="s">
        <v>36</v>
      </c>
      <c r="M45">
        <f>SUM(テーブル113[[#This Row],[正確性]:[情報開示適切性]])</f>
        <v>0</v>
      </c>
      <c r="N45" t="e">
        <f>AVERAGE(テーブル113[[#This Row],[正確性]:[情報開示適切性]])</f>
        <v>#DIV/0!</v>
      </c>
    </row>
    <row r="46" spans="1:14">
      <c r="A46">
        <v>1000</v>
      </c>
      <c r="B46">
        <v>50</v>
      </c>
      <c r="C46">
        <v>16</v>
      </c>
      <c r="D46" t="s">
        <v>41</v>
      </c>
      <c r="E46" t="s">
        <v>26</v>
      </c>
      <c r="G46" t="s">
        <v>36</v>
      </c>
      <c r="M46">
        <f>SUM(テーブル113[[#This Row],[正確性]:[情報開示適切性]])</f>
        <v>0</v>
      </c>
      <c r="N46" t="e">
        <f>AVERAGE(テーブル113[[#This Row],[正確性]:[情報開示適切性]])</f>
        <v>#DIV/0!</v>
      </c>
    </row>
    <row r="47" spans="1:14">
      <c r="A47">
        <v>1000</v>
      </c>
      <c r="B47">
        <v>50</v>
      </c>
      <c r="C47">
        <v>17</v>
      </c>
      <c r="D47" t="s">
        <v>41</v>
      </c>
      <c r="E47" t="s">
        <v>27</v>
      </c>
      <c r="G47" t="s">
        <v>36</v>
      </c>
      <c r="M47">
        <f>SUM(テーブル113[[#This Row],[正確性]:[情報開示適切性]])</f>
        <v>0</v>
      </c>
      <c r="N47" t="e">
        <f>AVERAGE(テーブル113[[#This Row],[正確性]:[情報開示適切性]])</f>
        <v>#DIV/0!</v>
      </c>
    </row>
    <row r="48" spans="1:14">
      <c r="A48">
        <v>1000</v>
      </c>
      <c r="B48">
        <v>50</v>
      </c>
      <c r="C48">
        <v>18</v>
      </c>
      <c r="D48" t="s">
        <v>41</v>
      </c>
      <c r="E48" t="s">
        <v>28</v>
      </c>
      <c r="G48" t="s">
        <v>36</v>
      </c>
      <c r="M48">
        <f>SUM(テーブル113[[#This Row],[正確性]:[情報開示適切性]])</f>
        <v>0</v>
      </c>
      <c r="N48" t="e">
        <f>AVERAGE(テーブル113[[#This Row],[正確性]:[情報開示適切性]])</f>
        <v>#DIV/0!</v>
      </c>
    </row>
    <row r="49" spans="1:15">
      <c r="A49">
        <v>1000</v>
      </c>
      <c r="B49">
        <v>50</v>
      </c>
      <c r="C49">
        <v>19</v>
      </c>
      <c r="D49" t="s">
        <v>41</v>
      </c>
      <c r="E49" t="s">
        <v>29</v>
      </c>
      <c r="G49" t="s">
        <v>36</v>
      </c>
      <c r="M49">
        <f>SUM(テーブル113[[#This Row],[正確性]:[情報開示適切性]])</f>
        <v>0</v>
      </c>
      <c r="N49" t="e">
        <f>AVERAGE(テーブル113[[#This Row],[正確性]:[情報開示適切性]])</f>
        <v>#DIV/0!</v>
      </c>
    </row>
    <row r="50" spans="1:15">
      <c r="A50">
        <v>1000</v>
      </c>
      <c r="B50">
        <v>50</v>
      </c>
      <c r="C50">
        <v>20</v>
      </c>
      <c r="D50" t="s">
        <v>41</v>
      </c>
      <c r="E50" t="s">
        <v>30</v>
      </c>
      <c r="G50" t="s">
        <v>36</v>
      </c>
      <c r="M50">
        <f>SUM(テーブル113[[#This Row],[正確性]:[情報開示適切性]])</f>
        <v>0</v>
      </c>
      <c r="N50" t="e">
        <f>AVERAGE(テーブル113[[#This Row],[正確性]:[情報開示適切性]])</f>
        <v>#DIV/0!</v>
      </c>
    </row>
    <row r="51" spans="1:15">
      <c r="A51">
        <v>1000</v>
      </c>
      <c r="B51">
        <v>50</v>
      </c>
      <c r="C51">
        <v>21</v>
      </c>
      <c r="D51" t="s">
        <v>42</v>
      </c>
      <c r="E51" t="s">
        <v>31</v>
      </c>
      <c r="G51" t="s">
        <v>36</v>
      </c>
      <c r="M51">
        <f>SUM(テーブル113[[#This Row],[正確性]:[情報開示適切性]])</f>
        <v>0</v>
      </c>
      <c r="N51" t="e">
        <f>AVERAGE(テーブル113[[#This Row],[正確性]:[情報開示適切性]])</f>
        <v>#DIV/0!</v>
      </c>
    </row>
    <row r="52" spans="1:15">
      <c r="A52">
        <v>1000</v>
      </c>
      <c r="B52">
        <v>50</v>
      </c>
      <c r="C52">
        <v>22</v>
      </c>
      <c r="D52" t="s">
        <v>42</v>
      </c>
      <c r="E52" t="s">
        <v>32</v>
      </c>
      <c r="G52" t="s">
        <v>36</v>
      </c>
      <c r="M52">
        <f>SUM(テーブル113[[#This Row],[正確性]:[情報開示適切性]])</f>
        <v>0</v>
      </c>
      <c r="N52" t="e">
        <f>AVERAGE(テーブル113[[#This Row],[正確性]:[情報開示適切性]])</f>
        <v>#DIV/0!</v>
      </c>
    </row>
    <row r="53" spans="1:15">
      <c r="A53">
        <v>1000</v>
      </c>
      <c r="B53">
        <v>50</v>
      </c>
      <c r="C53">
        <v>23</v>
      </c>
      <c r="D53" t="s">
        <v>42</v>
      </c>
      <c r="E53" t="s">
        <v>33</v>
      </c>
      <c r="G53" t="s">
        <v>36</v>
      </c>
      <c r="M53">
        <f>SUM(テーブル113[[#This Row],[正確性]:[情報開示適切性]])</f>
        <v>0</v>
      </c>
      <c r="N53" t="e">
        <f>AVERAGE(テーブル113[[#This Row],[正確性]:[情報開示適切性]])</f>
        <v>#DIV/0!</v>
      </c>
    </row>
    <row r="54" spans="1:15">
      <c r="A54">
        <v>1000</v>
      </c>
      <c r="B54">
        <v>50</v>
      </c>
      <c r="C54">
        <v>24</v>
      </c>
      <c r="D54" t="s">
        <v>42</v>
      </c>
      <c r="E54" t="s">
        <v>34</v>
      </c>
      <c r="G54" t="s">
        <v>36</v>
      </c>
      <c r="M54">
        <f>SUM(テーブル113[[#This Row],[正確性]:[情報開示適切性]])</f>
        <v>0</v>
      </c>
      <c r="N54" t="e">
        <f>AVERAGE(テーブル113[[#This Row],[正確性]:[情報開示適切性]])</f>
        <v>#DIV/0!</v>
      </c>
    </row>
    <row r="55" spans="1:15">
      <c r="A55">
        <v>1000</v>
      </c>
      <c r="B55">
        <v>50</v>
      </c>
      <c r="C55">
        <v>25</v>
      </c>
      <c r="D55" t="s">
        <v>42</v>
      </c>
      <c r="E55" t="s">
        <v>35</v>
      </c>
      <c r="G55" t="s">
        <v>36</v>
      </c>
      <c r="M55">
        <f>SUM(テーブル113[[#This Row],[正確性]:[情報開示適切性]])</f>
        <v>0</v>
      </c>
      <c r="N55" t="e">
        <f>AVERAGE(テーブル113[[#This Row],[正確性]:[情報開示適切性]])</f>
        <v>#DIV/0!</v>
      </c>
    </row>
    <row r="59" spans="1:15">
      <c r="A59" t="s">
        <v>0</v>
      </c>
      <c r="B59" t="s">
        <v>1</v>
      </c>
      <c r="C59" t="s">
        <v>2</v>
      </c>
      <c r="D59" t="s">
        <v>37</v>
      </c>
      <c r="E59" t="s">
        <v>3</v>
      </c>
      <c r="F59" t="s">
        <v>43</v>
      </c>
      <c r="G59" t="s">
        <v>4</v>
      </c>
      <c r="H59" t="s">
        <v>5</v>
      </c>
      <c r="I59" t="s">
        <v>6</v>
      </c>
      <c r="J59" t="s">
        <v>7</v>
      </c>
      <c r="K59" t="s">
        <v>8</v>
      </c>
      <c r="L59" t="s">
        <v>44</v>
      </c>
      <c r="M59" t="s">
        <v>9</v>
      </c>
      <c r="N59" t="s">
        <v>10</v>
      </c>
      <c r="O59" t="s">
        <v>45</v>
      </c>
    </row>
    <row r="60" spans="1:15">
      <c r="A60">
        <v>1000</v>
      </c>
      <c r="B60">
        <v>50</v>
      </c>
      <c r="C60">
        <v>1</v>
      </c>
      <c r="D60" t="s">
        <v>38</v>
      </c>
      <c r="E60" t="s">
        <v>11</v>
      </c>
      <c r="F60" s="1"/>
      <c r="G60" t="s">
        <v>36</v>
      </c>
      <c r="H60" t="s">
        <v>36</v>
      </c>
      <c r="I60" t="s">
        <v>36</v>
      </c>
      <c r="J60" t="s">
        <v>36</v>
      </c>
      <c r="K60" t="s">
        <v>36</v>
      </c>
      <c r="L60" t="s">
        <v>36</v>
      </c>
      <c r="M60">
        <f>SUM(テーブル114[[#This Row],[正確性]:[情報開示適切性]])</f>
        <v>0</v>
      </c>
      <c r="N60" t="e">
        <f>AVERAGE(テーブル114[[#This Row],[正確性]:[情報開示適切性]])</f>
        <v>#DIV/0!</v>
      </c>
    </row>
    <row r="61" spans="1:15">
      <c r="A61">
        <v>1000</v>
      </c>
      <c r="B61">
        <v>50</v>
      </c>
      <c r="C61">
        <v>2</v>
      </c>
      <c r="D61" t="s">
        <v>38</v>
      </c>
      <c r="E61" t="s">
        <v>12</v>
      </c>
      <c r="G61" t="s">
        <v>36</v>
      </c>
      <c r="M61">
        <f>SUM(テーブル114[[#This Row],[正確性]:[情報開示適切性]])</f>
        <v>0</v>
      </c>
      <c r="N61" t="e">
        <f>AVERAGE(テーブル114[[#This Row],[正確性]:[情報開示適切性]])</f>
        <v>#DIV/0!</v>
      </c>
    </row>
    <row r="62" spans="1:15">
      <c r="A62">
        <v>1000</v>
      </c>
      <c r="B62">
        <v>50</v>
      </c>
      <c r="C62">
        <v>3</v>
      </c>
      <c r="D62" t="s">
        <v>38</v>
      </c>
      <c r="E62" t="s">
        <v>13</v>
      </c>
      <c r="G62" t="s">
        <v>36</v>
      </c>
      <c r="M62">
        <f>SUM(テーブル114[[#This Row],[正確性]:[情報開示適切性]])</f>
        <v>0</v>
      </c>
      <c r="N62" t="e">
        <f>AVERAGE(テーブル114[[#This Row],[正確性]:[情報開示適切性]])</f>
        <v>#DIV/0!</v>
      </c>
    </row>
    <row r="63" spans="1:15">
      <c r="A63">
        <v>1000</v>
      </c>
      <c r="B63">
        <v>50</v>
      </c>
      <c r="C63">
        <v>4</v>
      </c>
      <c r="D63" t="s">
        <v>38</v>
      </c>
      <c r="E63" t="s">
        <v>14</v>
      </c>
      <c r="G63" t="s">
        <v>36</v>
      </c>
      <c r="M63">
        <f>SUM(テーブル114[[#This Row],[正確性]:[情報開示適切性]])</f>
        <v>0</v>
      </c>
      <c r="N63" t="e">
        <f>AVERAGE(テーブル114[[#This Row],[正確性]:[情報開示適切性]])</f>
        <v>#DIV/0!</v>
      </c>
    </row>
    <row r="64" spans="1:15">
      <c r="A64">
        <v>1000</v>
      </c>
      <c r="B64">
        <v>50</v>
      </c>
      <c r="C64">
        <v>5</v>
      </c>
      <c r="D64" t="s">
        <v>38</v>
      </c>
      <c r="E64" t="s">
        <v>15</v>
      </c>
      <c r="G64" t="s">
        <v>36</v>
      </c>
      <c r="M64">
        <f>SUM(テーブル114[[#This Row],[正確性]:[情報開示適切性]])</f>
        <v>0</v>
      </c>
      <c r="N64" t="e">
        <f>AVERAGE(テーブル114[[#This Row],[正確性]:[情報開示適切性]])</f>
        <v>#DIV/0!</v>
      </c>
    </row>
    <row r="65" spans="1:14">
      <c r="A65">
        <v>1000</v>
      </c>
      <c r="B65">
        <v>50</v>
      </c>
      <c r="C65">
        <v>6</v>
      </c>
      <c r="D65" t="s">
        <v>40</v>
      </c>
      <c r="E65" t="s">
        <v>16</v>
      </c>
      <c r="G65" t="s">
        <v>36</v>
      </c>
      <c r="M65">
        <f>SUM(テーブル114[[#This Row],[正確性]:[情報開示適切性]])</f>
        <v>0</v>
      </c>
      <c r="N65" t="e">
        <f>AVERAGE(テーブル114[[#This Row],[正確性]:[情報開示適切性]])</f>
        <v>#DIV/0!</v>
      </c>
    </row>
    <row r="66" spans="1:14">
      <c r="A66">
        <v>1000</v>
      </c>
      <c r="B66">
        <v>50</v>
      </c>
      <c r="C66">
        <v>7</v>
      </c>
      <c r="D66" t="s">
        <v>40</v>
      </c>
      <c r="E66" t="s">
        <v>17</v>
      </c>
      <c r="G66" t="s">
        <v>36</v>
      </c>
      <c r="M66">
        <f>SUM(テーブル114[[#This Row],[正確性]:[情報開示適切性]])</f>
        <v>0</v>
      </c>
      <c r="N66" t="e">
        <f>AVERAGE(テーブル114[[#This Row],[正確性]:[情報開示適切性]])</f>
        <v>#DIV/0!</v>
      </c>
    </row>
    <row r="67" spans="1:14">
      <c r="A67">
        <v>1000</v>
      </c>
      <c r="B67">
        <v>50</v>
      </c>
      <c r="C67">
        <v>8</v>
      </c>
      <c r="D67" t="s">
        <v>40</v>
      </c>
      <c r="E67" t="s">
        <v>18</v>
      </c>
      <c r="G67" t="s">
        <v>36</v>
      </c>
      <c r="M67">
        <f>SUM(テーブル114[[#This Row],[正確性]:[情報開示適切性]])</f>
        <v>0</v>
      </c>
      <c r="N67" t="e">
        <f>AVERAGE(テーブル114[[#This Row],[正確性]:[情報開示適切性]])</f>
        <v>#DIV/0!</v>
      </c>
    </row>
    <row r="68" spans="1:14">
      <c r="A68">
        <v>1000</v>
      </c>
      <c r="B68">
        <v>50</v>
      </c>
      <c r="C68">
        <v>9</v>
      </c>
      <c r="D68" t="s">
        <v>40</v>
      </c>
      <c r="E68" t="s">
        <v>19</v>
      </c>
      <c r="G68" t="s">
        <v>36</v>
      </c>
      <c r="M68">
        <f>SUM(テーブル114[[#This Row],[正確性]:[情報開示適切性]])</f>
        <v>0</v>
      </c>
      <c r="N68" t="e">
        <f>AVERAGE(テーブル114[[#This Row],[正確性]:[情報開示適切性]])</f>
        <v>#DIV/0!</v>
      </c>
    </row>
    <row r="69" spans="1:14">
      <c r="A69">
        <v>1000</v>
      </c>
      <c r="B69">
        <v>50</v>
      </c>
      <c r="C69">
        <v>10</v>
      </c>
      <c r="D69" t="s">
        <v>40</v>
      </c>
      <c r="E69" t="s">
        <v>20</v>
      </c>
      <c r="G69" t="s">
        <v>36</v>
      </c>
      <c r="M69">
        <f>SUM(テーブル114[[#This Row],[正確性]:[情報開示適切性]])</f>
        <v>0</v>
      </c>
      <c r="N69" t="e">
        <f>AVERAGE(テーブル114[[#This Row],[正確性]:[情報開示適切性]])</f>
        <v>#DIV/0!</v>
      </c>
    </row>
    <row r="70" spans="1:14">
      <c r="A70">
        <v>1000</v>
      </c>
      <c r="B70">
        <v>50</v>
      </c>
      <c r="C70">
        <v>11</v>
      </c>
      <c r="D70" t="s">
        <v>39</v>
      </c>
      <c r="E70" t="s">
        <v>21</v>
      </c>
      <c r="G70" t="s">
        <v>36</v>
      </c>
      <c r="M70">
        <f>SUM(テーブル114[[#This Row],[正確性]:[情報開示適切性]])</f>
        <v>0</v>
      </c>
      <c r="N70" t="e">
        <f>AVERAGE(テーブル114[[#This Row],[正確性]:[情報開示適切性]])</f>
        <v>#DIV/0!</v>
      </c>
    </row>
    <row r="71" spans="1:14">
      <c r="A71">
        <v>1000</v>
      </c>
      <c r="B71">
        <v>50</v>
      </c>
      <c r="C71">
        <v>12</v>
      </c>
      <c r="D71" t="s">
        <v>39</v>
      </c>
      <c r="E71" t="s">
        <v>22</v>
      </c>
      <c r="G71" t="s">
        <v>36</v>
      </c>
      <c r="M71">
        <f>SUM(テーブル114[[#This Row],[正確性]:[情報開示適切性]])</f>
        <v>0</v>
      </c>
      <c r="N71" t="e">
        <f>AVERAGE(テーブル114[[#This Row],[正確性]:[情報開示適切性]])</f>
        <v>#DIV/0!</v>
      </c>
    </row>
    <row r="72" spans="1:14">
      <c r="A72">
        <v>1000</v>
      </c>
      <c r="B72">
        <v>50</v>
      </c>
      <c r="C72">
        <v>13</v>
      </c>
      <c r="D72" t="s">
        <v>39</v>
      </c>
      <c r="E72" t="s">
        <v>23</v>
      </c>
      <c r="G72" t="s">
        <v>36</v>
      </c>
      <c r="M72">
        <f>SUM(テーブル114[[#This Row],[正確性]:[情報開示適切性]])</f>
        <v>0</v>
      </c>
      <c r="N72" t="e">
        <f>AVERAGE(テーブル114[[#This Row],[正確性]:[情報開示適切性]])</f>
        <v>#DIV/0!</v>
      </c>
    </row>
    <row r="73" spans="1:14">
      <c r="A73">
        <v>1000</v>
      </c>
      <c r="B73">
        <v>50</v>
      </c>
      <c r="C73">
        <v>14</v>
      </c>
      <c r="D73" t="s">
        <v>39</v>
      </c>
      <c r="E73" t="s">
        <v>24</v>
      </c>
      <c r="G73" t="s">
        <v>36</v>
      </c>
      <c r="M73">
        <f>SUM(テーブル114[[#This Row],[正確性]:[情報開示適切性]])</f>
        <v>0</v>
      </c>
      <c r="N73" t="e">
        <f>AVERAGE(テーブル114[[#This Row],[正確性]:[情報開示適切性]])</f>
        <v>#DIV/0!</v>
      </c>
    </row>
    <row r="74" spans="1:14">
      <c r="A74">
        <v>1000</v>
      </c>
      <c r="B74">
        <v>50</v>
      </c>
      <c r="C74">
        <v>15</v>
      </c>
      <c r="D74" t="s">
        <v>39</v>
      </c>
      <c r="E74" t="s">
        <v>25</v>
      </c>
      <c r="G74" t="s">
        <v>36</v>
      </c>
      <c r="M74">
        <f>SUM(テーブル114[[#This Row],[正確性]:[情報開示適切性]])</f>
        <v>0</v>
      </c>
      <c r="N74" t="e">
        <f>AVERAGE(テーブル114[[#This Row],[正確性]:[情報開示適切性]])</f>
        <v>#DIV/0!</v>
      </c>
    </row>
    <row r="75" spans="1:14">
      <c r="A75">
        <v>1000</v>
      </c>
      <c r="B75">
        <v>50</v>
      </c>
      <c r="C75">
        <v>16</v>
      </c>
      <c r="D75" t="s">
        <v>41</v>
      </c>
      <c r="E75" t="s">
        <v>26</v>
      </c>
      <c r="G75" t="s">
        <v>36</v>
      </c>
      <c r="M75">
        <f>SUM(テーブル114[[#This Row],[正確性]:[情報開示適切性]])</f>
        <v>0</v>
      </c>
      <c r="N75" t="e">
        <f>AVERAGE(テーブル114[[#This Row],[正確性]:[情報開示適切性]])</f>
        <v>#DIV/0!</v>
      </c>
    </row>
    <row r="76" spans="1:14">
      <c r="A76">
        <v>1000</v>
      </c>
      <c r="B76">
        <v>50</v>
      </c>
      <c r="C76">
        <v>17</v>
      </c>
      <c r="D76" t="s">
        <v>41</v>
      </c>
      <c r="E76" t="s">
        <v>27</v>
      </c>
      <c r="G76" t="s">
        <v>36</v>
      </c>
      <c r="M76">
        <f>SUM(テーブル114[[#This Row],[正確性]:[情報開示適切性]])</f>
        <v>0</v>
      </c>
      <c r="N76" t="e">
        <f>AVERAGE(テーブル114[[#This Row],[正確性]:[情報開示適切性]])</f>
        <v>#DIV/0!</v>
      </c>
    </row>
    <row r="77" spans="1:14">
      <c r="A77">
        <v>1000</v>
      </c>
      <c r="B77">
        <v>50</v>
      </c>
      <c r="C77">
        <v>18</v>
      </c>
      <c r="D77" t="s">
        <v>41</v>
      </c>
      <c r="E77" t="s">
        <v>28</v>
      </c>
      <c r="G77" t="s">
        <v>36</v>
      </c>
      <c r="M77">
        <f>SUM(テーブル114[[#This Row],[正確性]:[情報開示適切性]])</f>
        <v>0</v>
      </c>
      <c r="N77" t="e">
        <f>AVERAGE(テーブル114[[#This Row],[正確性]:[情報開示適切性]])</f>
        <v>#DIV/0!</v>
      </c>
    </row>
    <row r="78" spans="1:14">
      <c r="A78">
        <v>1000</v>
      </c>
      <c r="B78">
        <v>50</v>
      </c>
      <c r="C78">
        <v>19</v>
      </c>
      <c r="D78" t="s">
        <v>41</v>
      </c>
      <c r="E78" t="s">
        <v>29</v>
      </c>
      <c r="G78" t="s">
        <v>36</v>
      </c>
      <c r="M78">
        <f>SUM(テーブル114[[#This Row],[正確性]:[情報開示適切性]])</f>
        <v>0</v>
      </c>
      <c r="N78" t="e">
        <f>AVERAGE(テーブル114[[#This Row],[正確性]:[情報開示適切性]])</f>
        <v>#DIV/0!</v>
      </c>
    </row>
    <row r="79" spans="1:14">
      <c r="A79">
        <v>1000</v>
      </c>
      <c r="B79">
        <v>50</v>
      </c>
      <c r="C79">
        <v>20</v>
      </c>
      <c r="D79" t="s">
        <v>41</v>
      </c>
      <c r="E79" t="s">
        <v>30</v>
      </c>
      <c r="G79" t="s">
        <v>36</v>
      </c>
      <c r="M79">
        <f>SUM(テーブル114[[#This Row],[正確性]:[情報開示適切性]])</f>
        <v>0</v>
      </c>
      <c r="N79" t="e">
        <f>AVERAGE(テーブル114[[#This Row],[正確性]:[情報開示適切性]])</f>
        <v>#DIV/0!</v>
      </c>
    </row>
    <row r="80" spans="1:14">
      <c r="A80">
        <v>1000</v>
      </c>
      <c r="B80">
        <v>50</v>
      </c>
      <c r="C80">
        <v>21</v>
      </c>
      <c r="D80" t="s">
        <v>42</v>
      </c>
      <c r="E80" t="s">
        <v>31</v>
      </c>
      <c r="G80" t="s">
        <v>36</v>
      </c>
      <c r="M80">
        <f>SUM(テーブル114[[#This Row],[正確性]:[情報開示適切性]])</f>
        <v>0</v>
      </c>
      <c r="N80" t="e">
        <f>AVERAGE(テーブル114[[#This Row],[正確性]:[情報開示適切性]])</f>
        <v>#DIV/0!</v>
      </c>
    </row>
    <row r="81" spans="1:14">
      <c r="A81">
        <v>1000</v>
      </c>
      <c r="B81">
        <v>50</v>
      </c>
      <c r="C81">
        <v>22</v>
      </c>
      <c r="D81" t="s">
        <v>42</v>
      </c>
      <c r="E81" t="s">
        <v>32</v>
      </c>
      <c r="G81" t="s">
        <v>36</v>
      </c>
      <c r="M81">
        <f>SUM(テーブル114[[#This Row],[正確性]:[情報開示適切性]])</f>
        <v>0</v>
      </c>
      <c r="N81" t="e">
        <f>AVERAGE(テーブル114[[#This Row],[正確性]:[情報開示適切性]])</f>
        <v>#DIV/0!</v>
      </c>
    </row>
    <row r="82" spans="1:14">
      <c r="A82">
        <v>1000</v>
      </c>
      <c r="B82">
        <v>50</v>
      </c>
      <c r="C82">
        <v>23</v>
      </c>
      <c r="D82" t="s">
        <v>42</v>
      </c>
      <c r="E82" t="s">
        <v>33</v>
      </c>
      <c r="G82" t="s">
        <v>36</v>
      </c>
      <c r="M82">
        <f>SUM(テーブル114[[#This Row],[正確性]:[情報開示適切性]])</f>
        <v>0</v>
      </c>
      <c r="N82" t="e">
        <f>AVERAGE(テーブル114[[#This Row],[正確性]:[情報開示適切性]])</f>
        <v>#DIV/0!</v>
      </c>
    </row>
    <row r="83" spans="1:14">
      <c r="A83">
        <v>1000</v>
      </c>
      <c r="B83">
        <v>50</v>
      </c>
      <c r="C83">
        <v>24</v>
      </c>
      <c r="D83" t="s">
        <v>42</v>
      </c>
      <c r="E83" t="s">
        <v>34</v>
      </c>
      <c r="G83" t="s">
        <v>36</v>
      </c>
      <c r="M83">
        <f>SUM(テーブル114[[#This Row],[正確性]:[情報開示適切性]])</f>
        <v>0</v>
      </c>
      <c r="N83" t="e">
        <f>AVERAGE(テーブル114[[#This Row],[正確性]:[情報開示適切性]])</f>
        <v>#DIV/0!</v>
      </c>
    </row>
    <row r="84" spans="1:14">
      <c r="A84">
        <v>1000</v>
      </c>
      <c r="B84">
        <v>50</v>
      </c>
      <c r="C84">
        <v>25</v>
      </c>
      <c r="D84" t="s">
        <v>42</v>
      </c>
      <c r="E84" t="s">
        <v>35</v>
      </c>
      <c r="G84" t="s">
        <v>36</v>
      </c>
      <c r="M84">
        <f>SUM(テーブル114[[#This Row],[正確性]:[情報開示適切性]])</f>
        <v>0</v>
      </c>
      <c r="N84" t="e">
        <f>AVERAGE(テーブル114[[#This Row],[正確性]:[情報開示適切性]])</f>
        <v>#DIV/0!</v>
      </c>
    </row>
  </sheetData>
  <phoneticPr fontId="1"/>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250D2-433B-457B-B8DC-C448A8E1099C}">
  <dimension ref="A1:O84"/>
  <sheetViews>
    <sheetView workbookViewId="0">
      <selection activeCell="A60" sqref="A60:A84"/>
    </sheetView>
  </sheetViews>
  <sheetFormatPr defaultRowHeight="18"/>
  <sheetData>
    <row r="1" spans="1:15">
      <c r="A1" t="s">
        <v>0</v>
      </c>
      <c r="B1" t="s">
        <v>1</v>
      </c>
      <c r="C1" t="s">
        <v>2</v>
      </c>
      <c r="D1" t="s">
        <v>37</v>
      </c>
      <c r="E1" t="s">
        <v>3</v>
      </c>
      <c r="F1" t="s">
        <v>43</v>
      </c>
      <c r="G1" t="s">
        <v>4</v>
      </c>
      <c r="H1" t="s">
        <v>5</v>
      </c>
      <c r="I1" t="s">
        <v>6</v>
      </c>
      <c r="J1" t="s">
        <v>7</v>
      </c>
      <c r="K1" t="s">
        <v>8</v>
      </c>
      <c r="L1" t="s">
        <v>44</v>
      </c>
      <c r="M1" t="s">
        <v>9</v>
      </c>
      <c r="N1" t="s">
        <v>10</v>
      </c>
      <c r="O1" t="s">
        <v>45</v>
      </c>
    </row>
    <row r="2" spans="1:15">
      <c r="A2">
        <v>1500</v>
      </c>
      <c r="B2">
        <v>50</v>
      </c>
      <c r="C2">
        <v>1</v>
      </c>
      <c r="D2" t="s">
        <v>38</v>
      </c>
      <c r="E2" t="s">
        <v>11</v>
      </c>
      <c r="F2" s="1"/>
      <c r="G2" t="s">
        <v>36</v>
      </c>
      <c r="H2" t="s">
        <v>36</v>
      </c>
      <c r="I2" t="s">
        <v>36</v>
      </c>
      <c r="J2" t="s">
        <v>36</v>
      </c>
      <c r="K2" t="s">
        <v>36</v>
      </c>
      <c r="L2" t="s">
        <v>36</v>
      </c>
      <c r="M2">
        <f>SUM(テーブル115[[#This Row],[正確性]:[情報開示適切性]])</f>
        <v>0</v>
      </c>
      <c r="N2" t="e">
        <f>AVERAGE(テーブル115[[#This Row],[正確性]:[情報開示適切性]])</f>
        <v>#DIV/0!</v>
      </c>
    </row>
    <row r="3" spans="1:15">
      <c r="A3">
        <v>1500</v>
      </c>
      <c r="B3">
        <v>50</v>
      </c>
      <c r="C3">
        <v>2</v>
      </c>
      <c r="D3" t="s">
        <v>38</v>
      </c>
      <c r="E3" t="s">
        <v>12</v>
      </c>
      <c r="G3" t="s">
        <v>36</v>
      </c>
      <c r="M3">
        <f>SUM(テーブル115[[#This Row],[正確性]:[情報開示適切性]])</f>
        <v>0</v>
      </c>
      <c r="N3" t="e">
        <f>AVERAGE(テーブル115[[#This Row],[正確性]:[情報開示適切性]])</f>
        <v>#DIV/0!</v>
      </c>
    </row>
    <row r="4" spans="1:15">
      <c r="A4">
        <v>1500</v>
      </c>
      <c r="B4">
        <v>50</v>
      </c>
      <c r="C4">
        <v>3</v>
      </c>
      <c r="D4" t="s">
        <v>38</v>
      </c>
      <c r="E4" t="s">
        <v>13</v>
      </c>
      <c r="G4" t="s">
        <v>36</v>
      </c>
      <c r="M4">
        <f>SUM(テーブル115[[#This Row],[正確性]:[情報開示適切性]])</f>
        <v>0</v>
      </c>
      <c r="N4" t="e">
        <f>AVERAGE(テーブル115[[#This Row],[正確性]:[情報開示適切性]])</f>
        <v>#DIV/0!</v>
      </c>
    </row>
    <row r="5" spans="1:15">
      <c r="A5">
        <v>1500</v>
      </c>
      <c r="B5">
        <v>50</v>
      </c>
      <c r="C5">
        <v>4</v>
      </c>
      <c r="D5" t="s">
        <v>38</v>
      </c>
      <c r="E5" t="s">
        <v>14</v>
      </c>
      <c r="G5" t="s">
        <v>36</v>
      </c>
      <c r="M5">
        <f>SUM(テーブル115[[#This Row],[正確性]:[情報開示適切性]])</f>
        <v>0</v>
      </c>
      <c r="N5" t="e">
        <f>AVERAGE(テーブル115[[#This Row],[正確性]:[情報開示適切性]])</f>
        <v>#DIV/0!</v>
      </c>
    </row>
    <row r="6" spans="1:15">
      <c r="A6">
        <v>1500</v>
      </c>
      <c r="B6">
        <v>50</v>
      </c>
      <c r="C6">
        <v>5</v>
      </c>
      <c r="D6" t="s">
        <v>38</v>
      </c>
      <c r="E6" t="s">
        <v>15</v>
      </c>
      <c r="G6" t="s">
        <v>36</v>
      </c>
      <c r="M6">
        <f>SUM(テーブル115[[#This Row],[正確性]:[情報開示適切性]])</f>
        <v>0</v>
      </c>
      <c r="N6" t="e">
        <f>AVERAGE(テーブル115[[#This Row],[正確性]:[情報開示適切性]])</f>
        <v>#DIV/0!</v>
      </c>
    </row>
    <row r="7" spans="1:15">
      <c r="A7">
        <v>1500</v>
      </c>
      <c r="B7">
        <v>50</v>
      </c>
      <c r="C7">
        <v>6</v>
      </c>
      <c r="D7" t="s">
        <v>40</v>
      </c>
      <c r="E7" t="s">
        <v>16</v>
      </c>
      <c r="G7" t="s">
        <v>36</v>
      </c>
      <c r="M7">
        <f>SUM(テーブル115[[#This Row],[正確性]:[情報開示適切性]])</f>
        <v>0</v>
      </c>
      <c r="N7" t="e">
        <f>AVERAGE(テーブル115[[#This Row],[正確性]:[情報開示適切性]])</f>
        <v>#DIV/0!</v>
      </c>
    </row>
    <row r="8" spans="1:15">
      <c r="A8">
        <v>1500</v>
      </c>
      <c r="B8">
        <v>50</v>
      </c>
      <c r="C8">
        <v>7</v>
      </c>
      <c r="D8" t="s">
        <v>40</v>
      </c>
      <c r="E8" t="s">
        <v>17</v>
      </c>
      <c r="G8" t="s">
        <v>36</v>
      </c>
      <c r="M8">
        <f>SUM(テーブル115[[#This Row],[正確性]:[情報開示適切性]])</f>
        <v>0</v>
      </c>
      <c r="N8" t="e">
        <f>AVERAGE(テーブル115[[#This Row],[正確性]:[情報開示適切性]])</f>
        <v>#DIV/0!</v>
      </c>
    </row>
    <row r="9" spans="1:15">
      <c r="A9">
        <v>1500</v>
      </c>
      <c r="B9">
        <v>50</v>
      </c>
      <c r="C9">
        <v>8</v>
      </c>
      <c r="D9" t="s">
        <v>40</v>
      </c>
      <c r="E9" t="s">
        <v>18</v>
      </c>
      <c r="G9" t="s">
        <v>36</v>
      </c>
      <c r="M9">
        <f>SUM(テーブル115[[#This Row],[正確性]:[情報開示適切性]])</f>
        <v>0</v>
      </c>
      <c r="N9" t="e">
        <f>AVERAGE(テーブル115[[#This Row],[正確性]:[情報開示適切性]])</f>
        <v>#DIV/0!</v>
      </c>
    </row>
    <row r="10" spans="1:15">
      <c r="A10">
        <v>1500</v>
      </c>
      <c r="B10">
        <v>50</v>
      </c>
      <c r="C10">
        <v>9</v>
      </c>
      <c r="D10" t="s">
        <v>40</v>
      </c>
      <c r="E10" t="s">
        <v>19</v>
      </c>
      <c r="G10" t="s">
        <v>36</v>
      </c>
      <c r="M10">
        <f>SUM(テーブル115[[#This Row],[正確性]:[情報開示適切性]])</f>
        <v>0</v>
      </c>
      <c r="N10" t="e">
        <f>AVERAGE(テーブル115[[#This Row],[正確性]:[情報開示適切性]])</f>
        <v>#DIV/0!</v>
      </c>
    </row>
    <row r="11" spans="1:15">
      <c r="A11">
        <v>1500</v>
      </c>
      <c r="B11">
        <v>50</v>
      </c>
      <c r="C11">
        <v>10</v>
      </c>
      <c r="D11" t="s">
        <v>40</v>
      </c>
      <c r="E11" t="s">
        <v>20</v>
      </c>
      <c r="G11" t="s">
        <v>36</v>
      </c>
      <c r="M11">
        <f>SUM(テーブル115[[#This Row],[正確性]:[情報開示適切性]])</f>
        <v>0</v>
      </c>
      <c r="N11" t="e">
        <f>AVERAGE(テーブル115[[#This Row],[正確性]:[情報開示適切性]])</f>
        <v>#DIV/0!</v>
      </c>
    </row>
    <row r="12" spans="1:15">
      <c r="A12">
        <v>1500</v>
      </c>
      <c r="B12">
        <v>50</v>
      </c>
      <c r="C12">
        <v>11</v>
      </c>
      <c r="D12" t="s">
        <v>39</v>
      </c>
      <c r="E12" t="s">
        <v>21</v>
      </c>
      <c r="G12" t="s">
        <v>36</v>
      </c>
      <c r="M12">
        <f>SUM(テーブル115[[#This Row],[正確性]:[情報開示適切性]])</f>
        <v>0</v>
      </c>
      <c r="N12" t="e">
        <f>AVERAGE(テーブル115[[#This Row],[正確性]:[情報開示適切性]])</f>
        <v>#DIV/0!</v>
      </c>
    </row>
    <row r="13" spans="1:15">
      <c r="A13">
        <v>1500</v>
      </c>
      <c r="B13">
        <v>50</v>
      </c>
      <c r="C13">
        <v>12</v>
      </c>
      <c r="D13" t="s">
        <v>39</v>
      </c>
      <c r="E13" t="s">
        <v>22</v>
      </c>
      <c r="G13" t="s">
        <v>36</v>
      </c>
      <c r="M13">
        <f>SUM(テーブル115[[#This Row],[正確性]:[情報開示適切性]])</f>
        <v>0</v>
      </c>
      <c r="N13" t="e">
        <f>AVERAGE(テーブル115[[#This Row],[正確性]:[情報開示適切性]])</f>
        <v>#DIV/0!</v>
      </c>
    </row>
    <row r="14" spans="1:15">
      <c r="A14">
        <v>1500</v>
      </c>
      <c r="B14">
        <v>50</v>
      </c>
      <c r="C14">
        <v>13</v>
      </c>
      <c r="D14" t="s">
        <v>39</v>
      </c>
      <c r="E14" t="s">
        <v>23</v>
      </c>
      <c r="G14" t="s">
        <v>36</v>
      </c>
      <c r="M14">
        <f>SUM(テーブル115[[#This Row],[正確性]:[情報開示適切性]])</f>
        <v>0</v>
      </c>
      <c r="N14" t="e">
        <f>AVERAGE(テーブル115[[#This Row],[正確性]:[情報開示適切性]])</f>
        <v>#DIV/0!</v>
      </c>
    </row>
    <row r="15" spans="1:15">
      <c r="A15">
        <v>1500</v>
      </c>
      <c r="B15">
        <v>50</v>
      </c>
      <c r="C15">
        <v>14</v>
      </c>
      <c r="D15" t="s">
        <v>39</v>
      </c>
      <c r="E15" t="s">
        <v>24</v>
      </c>
      <c r="G15" t="s">
        <v>36</v>
      </c>
      <c r="M15">
        <f>SUM(テーブル115[[#This Row],[正確性]:[情報開示適切性]])</f>
        <v>0</v>
      </c>
      <c r="N15" t="e">
        <f>AVERAGE(テーブル115[[#This Row],[正確性]:[情報開示適切性]])</f>
        <v>#DIV/0!</v>
      </c>
    </row>
    <row r="16" spans="1:15">
      <c r="A16">
        <v>1500</v>
      </c>
      <c r="B16">
        <v>50</v>
      </c>
      <c r="C16">
        <v>15</v>
      </c>
      <c r="D16" t="s">
        <v>39</v>
      </c>
      <c r="E16" t="s">
        <v>25</v>
      </c>
      <c r="G16" t="s">
        <v>36</v>
      </c>
      <c r="M16">
        <f>SUM(テーブル115[[#This Row],[正確性]:[情報開示適切性]])</f>
        <v>0</v>
      </c>
      <c r="N16" t="e">
        <f>AVERAGE(テーブル115[[#This Row],[正確性]:[情報開示適切性]])</f>
        <v>#DIV/0!</v>
      </c>
    </row>
    <row r="17" spans="1:15">
      <c r="A17">
        <v>1500</v>
      </c>
      <c r="B17">
        <v>50</v>
      </c>
      <c r="C17">
        <v>16</v>
      </c>
      <c r="D17" t="s">
        <v>41</v>
      </c>
      <c r="E17" t="s">
        <v>26</v>
      </c>
      <c r="G17" t="s">
        <v>36</v>
      </c>
      <c r="M17">
        <f>SUM(テーブル115[[#This Row],[正確性]:[情報開示適切性]])</f>
        <v>0</v>
      </c>
      <c r="N17" t="e">
        <f>AVERAGE(テーブル115[[#This Row],[正確性]:[情報開示適切性]])</f>
        <v>#DIV/0!</v>
      </c>
    </row>
    <row r="18" spans="1:15">
      <c r="A18">
        <v>1500</v>
      </c>
      <c r="B18">
        <v>50</v>
      </c>
      <c r="C18">
        <v>17</v>
      </c>
      <c r="D18" t="s">
        <v>41</v>
      </c>
      <c r="E18" t="s">
        <v>27</v>
      </c>
      <c r="G18" t="s">
        <v>36</v>
      </c>
      <c r="M18">
        <f>SUM(テーブル115[[#This Row],[正確性]:[情報開示適切性]])</f>
        <v>0</v>
      </c>
      <c r="N18" t="e">
        <f>AVERAGE(テーブル115[[#This Row],[正確性]:[情報開示適切性]])</f>
        <v>#DIV/0!</v>
      </c>
    </row>
    <row r="19" spans="1:15">
      <c r="A19">
        <v>1500</v>
      </c>
      <c r="B19">
        <v>50</v>
      </c>
      <c r="C19">
        <v>18</v>
      </c>
      <c r="D19" t="s">
        <v>41</v>
      </c>
      <c r="E19" t="s">
        <v>28</v>
      </c>
      <c r="G19" t="s">
        <v>36</v>
      </c>
      <c r="M19">
        <f>SUM(テーブル115[[#This Row],[正確性]:[情報開示適切性]])</f>
        <v>0</v>
      </c>
      <c r="N19" t="e">
        <f>AVERAGE(テーブル115[[#This Row],[正確性]:[情報開示適切性]])</f>
        <v>#DIV/0!</v>
      </c>
    </row>
    <row r="20" spans="1:15">
      <c r="A20">
        <v>1500</v>
      </c>
      <c r="B20">
        <v>50</v>
      </c>
      <c r="C20">
        <v>19</v>
      </c>
      <c r="D20" t="s">
        <v>41</v>
      </c>
      <c r="E20" t="s">
        <v>29</v>
      </c>
      <c r="G20" t="s">
        <v>36</v>
      </c>
      <c r="M20">
        <f>SUM(テーブル115[[#This Row],[正確性]:[情報開示適切性]])</f>
        <v>0</v>
      </c>
      <c r="N20" t="e">
        <f>AVERAGE(テーブル115[[#This Row],[正確性]:[情報開示適切性]])</f>
        <v>#DIV/0!</v>
      </c>
    </row>
    <row r="21" spans="1:15">
      <c r="A21">
        <v>1500</v>
      </c>
      <c r="B21">
        <v>50</v>
      </c>
      <c r="C21">
        <v>20</v>
      </c>
      <c r="D21" t="s">
        <v>41</v>
      </c>
      <c r="E21" t="s">
        <v>30</v>
      </c>
      <c r="G21" t="s">
        <v>36</v>
      </c>
      <c r="M21">
        <f>SUM(テーブル115[[#This Row],[正確性]:[情報開示適切性]])</f>
        <v>0</v>
      </c>
      <c r="N21" t="e">
        <f>AVERAGE(テーブル115[[#This Row],[正確性]:[情報開示適切性]])</f>
        <v>#DIV/0!</v>
      </c>
    </row>
    <row r="22" spans="1:15">
      <c r="A22">
        <v>1500</v>
      </c>
      <c r="B22">
        <v>50</v>
      </c>
      <c r="C22">
        <v>21</v>
      </c>
      <c r="D22" t="s">
        <v>42</v>
      </c>
      <c r="E22" t="s">
        <v>31</v>
      </c>
      <c r="G22" t="s">
        <v>36</v>
      </c>
      <c r="M22">
        <f>SUM(テーブル115[[#This Row],[正確性]:[情報開示適切性]])</f>
        <v>0</v>
      </c>
      <c r="N22" t="e">
        <f>AVERAGE(テーブル115[[#This Row],[正確性]:[情報開示適切性]])</f>
        <v>#DIV/0!</v>
      </c>
    </row>
    <row r="23" spans="1:15">
      <c r="A23">
        <v>1500</v>
      </c>
      <c r="B23">
        <v>50</v>
      </c>
      <c r="C23">
        <v>22</v>
      </c>
      <c r="D23" t="s">
        <v>42</v>
      </c>
      <c r="E23" t="s">
        <v>32</v>
      </c>
      <c r="G23" t="s">
        <v>36</v>
      </c>
      <c r="M23">
        <f>SUM(テーブル115[[#This Row],[正確性]:[情報開示適切性]])</f>
        <v>0</v>
      </c>
      <c r="N23" t="e">
        <f>AVERAGE(テーブル115[[#This Row],[正確性]:[情報開示適切性]])</f>
        <v>#DIV/0!</v>
      </c>
    </row>
    <row r="24" spans="1:15">
      <c r="A24">
        <v>1500</v>
      </c>
      <c r="B24">
        <v>50</v>
      </c>
      <c r="C24">
        <v>23</v>
      </c>
      <c r="D24" t="s">
        <v>42</v>
      </c>
      <c r="E24" t="s">
        <v>33</v>
      </c>
      <c r="G24" t="s">
        <v>36</v>
      </c>
      <c r="M24">
        <f>SUM(テーブル115[[#This Row],[正確性]:[情報開示適切性]])</f>
        <v>0</v>
      </c>
      <c r="N24" t="e">
        <f>AVERAGE(テーブル115[[#This Row],[正確性]:[情報開示適切性]])</f>
        <v>#DIV/0!</v>
      </c>
    </row>
    <row r="25" spans="1:15">
      <c r="A25">
        <v>1500</v>
      </c>
      <c r="B25">
        <v>50</v>
      </c>
      <c r="C25">
        <v>24</v>
      </c>
      <c r="D25" t="s">
        <v>42</v>
      </c>
      <c r="E25" t="s">
        <v>34</v>
      </c>
      <c r="G25" t="s">
        <v>36</v>
      </c>
      <c r="M25">
        <f>SUM(テーブル115[[#This Row],[正確性]:[情報開示適切性]])</f>
        <v>0</v>
      </c>
      <c r="N25" t="e">
        <f>AVERAGE(テーブル115[[#This Row],[正確性]:[情報開示適切性]])</f>
        <v>#DIV/0!</v>
      </c>
    </row>
    <row r="26" spans="1:15">
      <c r="A26">
        <v>1500</v>
      </c>
      <c r="B26">
        <v>50</v>
      </c>
      <c r="C26">
        <v>25</v>
      </c>
      <c r="D26" t="s">
        <v>42</v>
      </c>
      <c r="E26" t="s">
        <v>35</v>
      </c>
      <c r="G26" t="s">
        <v>36</v>
      </c>
      <c r="M26">
        <f>SUM(テーブル115[[#This Row],[正確性]:[情報開示適切性]])</f>
        <v>0</v>
      </c>
      <c r="N26" t="e">
        <f>AVERAGE(テーブル115[[#This Row],[正確性]:[情報開示適切性]])</f>
        <v>#DIV/0!</v>
      </c>
    </row>
    <row r="30" spans="1:15">
      <c r="A30" t="s">
        <v>0</v>
      </c>
      <c r="B30" t="s">
        <v>1</v>
      </c>
      <c r="C30" t="s">
        <v>2</v>
      </c>
      <c r="D30" t="s">
        <v>37</v>
      </c>
      <c r="E30" t="s">
        <v>3</v>
      </c>
      <c r="F30" t="s">
        <v>43</v>
      </c>
      <c r="G30" t="s">
        <v>4</v>
      </c>
      <c r="H30" t="s">
        <v>5</v>
      </c>
      <c r="I30" t="s">
        <v>6</v>
      </c>
      <c r="J30" t="s">
        <v>7</v>
      </c>
      <c r="K30" t="s">
        <v>8</v>
      </c>
      <c r="L30" t="s">
        <v>44</v>
      </c>
      <c r="M30" t="s">
        <v>9</v>
      </c>
      <c r="N30" t="s">
        <v>10</v>
      </c>
      <c r="O30" t="s">
        <v>45</v>
      </c>
    </row>
    <row r="31" spans="1:15">
      <c r="A31">
        <v>1500</v>
      </c>
      <c r="B31">
        <v>50</v>
      </c>
      <c r="C31">
        <v>1</v>
      </c>
      <c r="D31" t="s">
        <v>38</v>
      </c>
      <c r="E31" t="s">
        <v>11</v>
      </c>
      <c r="F31" s="1"/>
      <c r="G31" t="s">
        <v>36</v>
      </c>
      <c r="H31" t="s">
        <v>36</v>
      </c>
      <c r="I31" t="s">
        <v>36</v>
      </c>
      <c r="J31" t="s">
        <v>36</v>
      </c>
      <c r="K31" t="s">
        <v>36</v>
      </c>
      <c r="L31" t="s">
        <v>36</v>
      </c>
      <c r="M31">
        <f>SUM(テーブル116[[#This Row],[正確性]:[情報開示適切性]])</f>
        <v>0</v>
      </c>
      <c r="N31" t="e">
        <f>AVERAGE(テーブル116[[#This Row],[正確性]:[情報開示適切性]])</f>
        <v>#DIV/0!</v>
      </c>
    </row>
    <row r="32" spans="1:15">
      <c r="A32">
        <v>1500</v>
      </c>
      <c r="B32">
        <v>50</v>
      </c>
      <c r="C32">
        <v>2</v>
      </c>
      <c r="D32" t="s">
        <v>38</v>
      </c>
      <c r="E32" t="s">
        <v>12</v>
      </c>
      <c r="G32" t="s">
        <v>36</v>
      </c>
      <c r="M32">
        <f>SUM(テーブル116[[#This Row],[正確性]:[情報開示適切性]])</f>
        <v>0</v>
      </c>
      <c r="N32" t="e">
        <f>AVERAGE(テーブル116[[#This Row],[正確性]:[情報開示適切性]])</f>
        <v>#DIV/0!</v>
      </c>
    </row>
    <row r="33" spans="1:14">
      <c r="A33">
        <v>1500</v>
      </c>
      <c r="B33">
        <v>50</v>
      </c>
      <c r="C33">
        <v>3</v>
      </c>
      <c r="D33" t="s">
        <v>38</v>
      </c>
      <c r="E33" t="s">
        <v>13</v>
      </c>
      <c r="G33" t="s">
        <v>36</v>
      </c>
      <c r="M33">
        <f>SUM(テーブル116[[#This Row],[正確性]:[情報開示適切性]])</f>
        <v>0</v>
      </c>
      <c r="N33" t="e">
        <f>AVERAGE(テーブル116[[#This Row],[正確性]:[情報開示適切性]])</f>
        <v>#DIV/0!</v>
      </c>
    </row>
    <row r="34" spans="1:14">
      <c r="A34">
        <v>1500</v>
      </c>
      <c r="B34">
        <v>50</v>
      </c>
      <c r="C34">
        <v>4</v>
      </c>
      <c r="D34" t="s">
        <v>38</v>
      </c>
      <c r="E34" t="s">
        <v>14</v>
      </c>
      <c r="G34" t="s">
        <v>36</v>
      </c>
      <c r="M34">
        <f>SUM(テーブル116[[#This Row],[正確性]:[情報開示適切性]])</f>
        <v>0</v>
      </c>
      <c r="N34" t="e">
        <f>AVERAGE(テーブル116[[#This Row],[正確性]:[情報開示適切性]])</f>
        <v>#DIV/0!</v>
      </c>
    </row>
    <row r="35" spans="1:14">
      <c r="A35">
        <v>1500</v>
      </c>
      <c r="B35">
        <v>50</v>
      </c>
      <c r="C35">
        <v>5</v>
      </c>
      <c r="D35" t="s">
        <v>38</v>
      </c>
      <c r="E35" t="s">
        <v>15</v>
      </c>
      <c r="G35" t="s">
        <v>36</v>
      </c>
      <c r="M35">
        <f>SUM(テーブル116[[#This Row],[正確性]:[情報開示適切性]])</f>
        <v>0</v>
      </c>
      <c r="N35" t="e">
        <f>AVERAGE(テーブル116[[#This Row],[正確性]:[情報開示適切性]])</f>
        <v>#DIV/0!</v>
      </c>
    </row>
    <row r="36" spans="1:14">
      <c r="A36">
        <v>1500</v>
      </c>
      <c r="B36">
        <v>50</v>
      </c>
      <c r="C36">
        <v>6</v>
      </c>
      <c r="D36" t="s">
        <v>40</v>
      </c>
      <c r="E36" t="s">
        <v>16</v>
      </c>
      <c r="G36" t="s">
        <v>36</v>
      </c>
      <c r="M36">
        <f>SUM(テーブル116[[#This Row],[正確性]:[情報開示適切性]])</f>
        <v>0</v>
      </c>
      <c r="N36" t="e">
        <f>AVERAGE(テーブル116[[#This Row],[正確性]:[情報開示適切性]])</f>
        <v>#DIV/0!</v>
      </c>
    </row>
    <row r="37" spans="1:14">
      <c r="A37">
        <v>1500</v>
      </c>
      <c r="B37">
        <v>50</v>
      </c>
      <c r="C37">
        <v>7</v>
      </c>
      <c r="D37" t="s">
        <v>40</v>
      </c>
      <c r="E37" t="s">
        <v>17</v>
      </c>
      <c r="G37" t="s">
        <v>36</v>
      </c>
      <c r="M37">
        <f>SUM(テーブル116[[#This Row],[正確性]:[情報開示適切性]])</f>
        <v>0</v>
      </c>
      <c r="N37" t="e">
        <f>AVERAGE(テーブル116[[#This Row],[正確性]:[情報開示適切性]])</f>
        <v>#DIV/0!</v>
      </c>
    </row>
    <row r="38" spans="1:14">
      <c r="A38">
        <v>1500</v>
      </c>
      <c r="B38">
        <v>50</v>
      </c>
      <c r="C38">
        <v>8</v>
      </c>
      <c r="D38" t="s">
        <v>40</v>
      </c>
      <c r="E38" t="s">
        <v>18</v>
      </c>
      <c r="G38" t="s">
        <v>36</v>
      </c>
      <c r="M38">
        <f>SUM(テーブル116[[#This Row],[正確性]:[情報開示適切性]])</f>
        <v>0</v>
      </c>
      <c r="N38" t="e">
        <f>AVERAGE(テーブル116[[#This Row],[正確性]:[情報開示適切性]])</f>
        <v>#DIV/0!</v>
      </c>
    </row>
    <row r="39" spans="1:14">
      <c r="A39">
        <v>1500</v>
      </c>
      <c r="B39">
        <v>50</v>
      </c>
      <c r="C39">
        <v>9</v>
      </c>
      <c r="D39" t="s">
        <v>40</v>
      </c>
      <c r="E39" t="s">
        <v>19</v>
      </c>
      <c r="G39" t="s">
        <v>36</v>
      </c>
      <c r="M39">
        <f>SUM(テーブル116[[#This Row],[正確性]:[情報開示適切性]])</f>
        <v>0</v>
      </c>
      <c r="N39" t="e">
        <f>AVERAGE(テーブル116[[#This Row],[正確性]:[情報開示適切性]])</f>
        <v>#DIV/0!</v>
      </c>
    </row>
    <row r="40" spans="1:14">
      <c r="A40">
        <v>1500</v>
      </c>
      <c r="B40">
        <v>50</v>
      </c>
      <c r="C40">
        <v>10</v>
      </c>
      <c r="D40" t="s">
        <v>40</v>
      </c>
      <c r="E40" t="s">
        <v>20</v>
      </c>
      <c r="G40" t="s">
        <v>36</v>
      </c>
      <c r="M40">
        <f>SUM(テーブル116[[#This Row],[正確性]:[情報開示適切性]])</f>
        <v>0</v>
      </c>
      <c r="N40" t="e">
        <f>AVERAGE(テーブル116[[#This Row],[正確性]:[情報開示適切性]])</f>
        <v>#DIV/0!</v>
      </c>
    </row>
    <row r="41" spans="1:14">
      <c r="A41">
        <v>1500</v>
      </c>
      <c r="B41">
        <v>50</v>
      </c>
      <c r="C41">
        <v>11</v>
      </c>
      <c r="D41" t="s">
        <v>39</v>
      </c>
      <c r="E41" t="s">
        <v>21</v>
      </c>
      <c r="G41" t="s">
        <v>36</v>
      </c>
      <c r="M41">
        <f>SUM(テーブル116[[#This Row],[正確性]:[情報開示適切性]])</f>
        <v>0</v>
      </c>
      <c r="N41" t="e">
        <f>AVERAGE(テーブル116[[#This Row],[正確性]:[情報開示適切性]])</f>
        <v>#DIV/0!</v>
      </c>
    </row>
    <row r="42" spans="1:14">
      <c r="A42">
        <v>1500</v>
      </c>
      <c r="B42">
        <v>50</v>
      </c>
      <c r="C42">
        <v>12</v>
      </c>
      <c r="D42" t="s">
        <v>39</v>
      </c>
      <c r="E42" t="s">
        <v>22</v>
      </c>
      <c r="G42" t="s">
        <v>36</v>
      </c>
      <c r="M42">
        <f>SUM(テーブル116[[#This Row],[正確性]:[情報開示適切性]])</f>
        <v>0</v>
      </c>
      <c r="N42" t="e">
        <f>AVERAGE(テーブル116[[#This Row],[正確性]:[情報開示適切性]])</f>
        <v>#DIV/0!</v>
      </c>
    </row>
    <row r="43" spans="1:14">
      <c r="A43">
        <v>1500</v>
      </c>
      <c r="B43">
        <v>50</v>
      </c>
      <c r="C43">
        <v>13</v>
      </c>
      <c r="D43" t="s">
        <v>39</v>
      </c>
      <c r="E43" t="s">
        <v>23</v>
      </c>
      <c r="G43" t="s">
        <v>36</v>
      </c>
      <c r="M43">
        <f>SUM(テーブル116[[#This Row],[正確性]:[情報開示適切性]])</f>
        <v>0</v>
      </c>
      <c r="N43" t="e">
        <f>AVERAGE(テーブル116[[#This Row],[正確性]:[情報開示適切性]])</f>
        <v>#DIV/0!</v>
      </c>
    </row>
    <row r="44" spans="1:14">
      <c r="A44">
        <v>1500</v>
      </c>
      <c r="B44">
        <v>50</v>
      </c>
      <c r="C44">
        <v>14</v>
      </c>
      <c r="D44" t="s">
        <v>39</v>
      </c>
      <c r="E44" t="s">
        <v>24</v>
      </c>
      <c r="G44" t="s">
        <v>36</v>
      </c>
      <c r="M44">
        <f>SUM(テーブル116[[#This Row],[正確性]:[情報開示適切性]])</f>
        <v>0</v>
      </c>
      <c r="N44" t="e">
        <f>AVERAGE(テーブル116[[#This Row],[正確性]:[情報開示適切性]])</f>
        <v>#DIV/0!</v>
      </c>
    </row>
    <row r="45" spans="1:14">
      <c r="A45">
        <v>1500</v>
      </c>
      <c r="B45">
        <v>50</v>
      </c>
      <c r="C45">
        <v>15</v>
      </c>
      <c r="D45" t="s">
        <v>39</v>
      </c>
      <c r="E45" t="s">
        <v>25</v>
      </c>
      <c r="G45" t="s">
        <v>36</v>
      </c>
      <c r="M45">
        <f>SUM(テーブル116[[#This Row],[正確性]:[情報開示適切性]])</f>
        <v>0</v>
      </c>
      <c r="N45" t="e">
        <f>AVERAGE(テーブル116[[#This Row],[正確性]:[情報開示適切性]])</f>
        <v>#DIV/0!</v>
      </c>
    </row>
    <row r="46" spans="1:14">
      <c r="A46">
        <v>1500</v>
      </c>
      <c r="B46">
        <v>50</v>
      </c>
      <c r="C46">
        <v>16</v>
      </c>
      <c r="D46" t="s">
        <v>41</v>
      </c>
      <c r="E46" t="s">
        <v>26</v>
      </c>
      <c r="G46" t="s">
        <v>36</v>
      </c>
      <c r="M46">
        <f>SUM(テーブル116[[#This Row],[正確性]:[情報開示適切性]])</f>
        <v>0</v>
      </c>
      <c r="N46" t="e">
        <f>AVERAGE(テーブル116[[#This Row],[正確性]:[情報開示適切性]])</f>
        <v>#DIV/0!</v>
      </c>
    </row>
    <row r="47" spans="1:14">
      <c r="A47">
        <v>1500</v>
      </c>
      <c r="B47">
        <v>50</v>
      </c>
      <c r="C47">
        <v>17</v>
      </c>
      <c r="D47" t="s">
        <v>41</v>
      </c>
      <c r="E47" t="s">
        <v>27</v>
      </c>
      <c r="G47" t="s">
        <v>36</v>
      </c>
      <c r="M47">
        <f>SUM(テーブル116[[#This Row],[正確性]:[情報開示適切性]])</f>
        <v>0</v>
      </c>
      <c r="N47" t="e">
        <f>AVERAGE(テーブル116[[#This Row],[正確性]:[情報開示適切性]])</f>
        <v>#DIV/0!</v>
      </c>
    </row>
    <row r="48" spans="1:14">
      <c r="A48">
        <v>1500</v>
      </c>
      <c r="B48">
        <v>50</v>
      </c>
      <c r="C48">
        <v>18</v>
      </c>
      <c r="D48" t="s">
        <v>41</v>
      </c>
      <c r="E48" t="s">
        <v>28</v>
      </c>
      <c r="G48" t="s">
        <v>36</v>
      </c>
      <c r="M48">
        <f>SUM(テーブル116[[#This Row],[正確性]:[情報開示適切性]])</f>
        <v>0</v>
      </c>
      <c r="N48" t="e">
        <f>AVERAGE(テーブル116[[#This Row],[正確性]:[情報開示適切性]])</f>
        <v>#DIV/0!</v>
      </c>
    </row>
    <row r="49" spans="1:15">
      <c r="A49">
        <v>1500</v>
      </c>
      <c r="B49">
        <v>50</v>
      </c>
      <c r="C49">
        <v>19</v>
      </c>
      <c r="D49" t="s">
        <v>41</v>
      </c>
      <c r="E49" t="s">
        <v>29</v>
      </c>
      <c r="G49" t="s">
        <v>36</v>
      </c>
      <c r="M49">
        <f>SUM(テーブル116[[#This Row],[正確性]:[情報開示適切性]])</f>
        <v>0</v>
      </c>
      <c r="N49" t="e">
        <f>AVERAGE(テーブル116[[#This Row],[正確性]:[情報開示適切性]])</f>
        <v>#DIV/0!</v>
      </c>
    </row>
    <row r="50" spans="1:15">
      <c r="A50">
        <v>1500</v>
      </c>
      <c r="B50">
        <v>50</v>
      </c>
      <c r="C50">
        <v>20</v>
      </c>
      <c r="D50" t="s">
        <v>41</v>
      </c>
      <c r="E50" t="s">
        <v>30</v>
      </c>
      <c r="G50" t="s">
        <v>36</v>
      </c>
      <c r="M50">
        <f>SUM(テーブル116[[#This Row],[正確性]:[情報開示適切性]])</f>
        <v>0</v>
      </c>
      <c r="N50" t="e">
        <f>AVERAGE(テーブル116[[#This Row],[正確性]:[情報開示適切性]])</f>
        <v>#DIV/0!</v>
      </c>
    </row>
    <row r="51" spans="1:15">
      <c r="A51">
        <v>1500</v>
      </c>
      <c r="B51">
        <v>50</v>
      </c>
      <c r="C51">
        <v>21</v>
      </c>
      <c r="D51" t="s">
        <v>42</v>
      </c>
      <c r="E51" t="s">
        <v>31</v>
      </c>
      <c r="G51" t="s">
        <v>36</v>
      </c>
      <c r="M51">
        <f>SUM(テーブル116[[#This Row],[正確性]:[情報開示適切性]])</f>
        <v>0</v>
      </c>
      <c r="N51" t="e">
        <f>AVERAGE(テーブル116[[#This Row],[正確性]:[情報開示適切性]])</f>
        <v>#DIV/0!</v>
      </c>
    </row>
    <row r="52" spans="1:15">
      <c r="A52">
        <v>1500</v>
      </c>
      <c r="B52">
        <v>50</v>
      </c>
      <c r="C52">
        <v>22</v>
      </c>
      <c r="D52" t="s">
        <v>42</v>
      </c>
      <c r="E52" t="s">
        <v>32</v>
      </c>
      <c r="G52" t="s">
        <v>36</v>
      </c>
      <c r="M52">
        <f>SUM(テーブル116[[#This Row],[正確性]:[情報開示適切性]])</f>
        <v>0</v>
      </c>
      <c r="N52" t="e">
        <f>AVERAGE(テーブル116[[#This Row],[正確性]:[情報開示適切性]])</f>
        <v>#DIV/0!</v>
      </c>
    </row>
    <row r="53" spans="1:15">
      <c r="A53">
        <v>1500</v>
      </c>
      <c r="B53">
        <v>50</v>
      </c>
      <c r="C53">
        <v>23</v>
      </c>
      <c r="D53" t="s">
        <v>42</v>
      </c>
      <c r="E53" t="s">
        <v>33</v>
      </c>
      <c r="G53" t="s">
        <v>36</v>
      </c>
      <c r="M53">
        <f>SUM(テーブル116[[#This Row],[正確性]:[情報開示適切性]])</f>
        <v>0</v>
      </c>
      <c r="N53" t="e">
        <f>AVERAGE(テーブル116[[#This Row],[正確性]:[情報開示適切性]])</f>
        <v>#DIV/0!</v>
      </c>
    </row>
    <row r="54" spans="1:15">
      <c r="A54">
        <v>1500</v>
      </c>
      <c r="B54">
        <v>50</v>
      </c>
      <c r="C54">
        <v>24</v>
      </c>
      <c r="D54" t="s">
        <v>42</v>
      </c>
      <c r="E54" t="s">
        <v>34</v>
      </c>
      <c r="G54" t="s">
        <v>36</v>
      </c>
      <c r="M54">
        <f>SUM(テーブル116[[#This Row],[正確性]:[情報開示適切性]])</f>
        <v>0</v>
      </c>
      <c r="N54" t="e">
        <f>AVERAGE(テーブル116[[#This Row],[正確性]:[情報開示適切性]])</f>
        <v>#DIV/0!</v>
      </c>
    </row>
    <row r="55" spans="1:15">
      <c r="A55">
        <v>1500</v>
      </c>
      <c r="B55">
        <v>50</v>
      </c>
      <c r="C55">
        <v>25</v>
      </c>
      <c r="D55" t="s">
        <v>42</v>
      </c>
      <c r="E55" t="s">
        <v>35</v>
      </c>
      <c r="G55" t="s">
        <v>36</v>
      </c>
      <c r="M55">
        <f>SUM(テーブル116[[#This Row],[正確性]:[情報開示適切性]])</f>
        <v>0</v>
      </c>
      <c r="N55" t="e">
        <f>AVERAGE(テーブル116[[#This Row],[正確性]:[情報開示適切性]])</f>
        <v>#DIV/0!</v>
      </c>
    </row>
    <row r="59" spans="1:15">
      <c r="A59" t="s">
        <v>0</v>
      </c>
      <c r="B59" t="s">
        <v>1</v>
      </c>
      <c r="C59" t="s">
        <v>2</v>
      </c>
      <c r="D59" t="s">
        <v>37</v>
      </c>
      <c r="E59" t="s">
        <v>3</v>
      </c>
      <c r="F59" t="s">
        <v>43</v>
      </c>
      <c r="G59" t="s">
        <v>4</v>
      </c>
      <c r="H59" t="s">
        <v>5</v>
      </c>
      <c r="I59" t="s">
        <v>6</v>
      </c>
      <c r="J59" t="s">
        <v>7</v>
      </c>
      <c r="K59" t="s">
        <v>8</v>
      </c>
      <c r="L59" t="s">
        <v>44</v>
      </c>
      <c r="M59" t="s">
        <v>9</v>
      </c>
      <c r="N59" t="s">
        <v>10</v>
      </c>
      <c r="O59" t="s">
        <v>45</v>
      </c>
    </row>
    <row r="60" spans="1:15">
      <c r="A60">
        <v>1500</v>
      </c>
      <c r="B60">
        <v>50</v>
      </c>
      <c r="C60">
        <v>1</v>
      </c>
      <c r="D60" t="s">
        <v>38</v>
      </c>
      <c r="E60" t="s">
        <v>11</v>
      </c>
      <c r="F60" s="1"/>
      <c r="G60" t="s">
        <v>36</v>
      </c>
      <c r="H60" t="s">
        <v>36</v>
      </c>
      <c r="I60" t="s">
        <v>36</v>
      </c>
      <c r="J60" t="s">
        <v>36</v>
      </c>
      <c r="K60" t="s">
        <v>36</v>
      </c>
      <c r="L60" t="s">
        <v>36</v>
      </c>
      <c r="M60">
        <f>SUM(テーブル117[[#This Row],[正確性]:[情報開示適切性]])</f>
        <v>0</v>
      </c>
      <c r="N60" t="e">
        <f>AVERAGE(テーブル117[[#This Row],[正確性]:[情報開示適切性]])</f>
        <v>#DIV/0!</v>
      </c>
    </row>
    <row r="61" spans="1:15">
      <c r="A61">
        <v>1500</v>
      </c>
      <c r="B61">
        <v>50</v>
      </c>
      <c r="C61">
        <v>2</v>
      </c>
      <c r="D61" t="s">
        <v>38</v>
      </c>
      <c r="E61" t="s">
        <v>12</v>
      </c>
      <c r="G61" t="s">
        <v>36</v>
      </c>
      <c r="M61">
        <f>SUM(テーブル117[[#This Row],[正確性]:[情報開示適切性]])</f>
        <v>0</v>
      </c>
      <c r="N61" t="e">
        <f>AVERAGE(テーブル117[[#This Row],[正確性]:[情報開示適切性]])</f>
        <v>#DIV/0!</v>
      </c>
    </row>
    <row r="62" spans="1:15">
      <c r="A62">
        <v>1500</v>
      </c>
      <c r="B62">
        <v>50</v>
      </c>
      <c r="C62">
        <v>3</v>
      </c>
      <c r="D62" t="s">
        <v>38</v>
      </c>
      <c r="E62" t="s">
        <v>13</v>
      </c>
      <c r="G62" t="s">
        <v>36</v>
      </c>
      <c r="M62">
        <f>SUM(テーブル117[[#This Row],[正確性]:[情報開示適切性]])</f>
        <v>0</v>
      </c>
      <c r="N62" t="e">
        <f>AVERAGE(テーブル117[[#This Row],[正確性]:[情報開示適切性]])</f>
        <v>#DIV/0!</v>
      </c>
    </row>
    <row r="63" spans="1:15">
      <c r="A63">
        <v>1500</v>
      </c>
      <c r="B63">
        <v>50</v>
      </c>
      <c r="C63">
        <v>4</v>
      </c>
      <c r="D63" t="s">
        <v>38</v>
      </c>
      <c r="E63" t="s">
        <v>14</v>
      </c>
      <c r="G63" t="s">
        <v>36</v>
      </c>
      <c r="M63">
        <f>SUM(テーブル117[[#This Row],[正確性]:[情報開示適切性]])</f>
        <v>0</v>
      </c>
      <c r="N63" t="e">
        <f>AVERAGE(テーブル117[[#This Row],[正確性]:[情報開示適切性]])</f>
        <v>#DIV/0!</v>
      </c>
    </row>
    <row r="64" spans="1:15">
      <c r="A64">
        <v>1500</v>
      </c>
      <c r="B64">
        <v>50</v>
      </c>
      <c r="C64">
        <v>5</v>
      </c>
      <c r="D64" t="s">
        <v>38</v>
      </c>
      <c r="E64" t="s">
        <v>15</v>
      </c>
      <c r="G64" t="s">
        <v>36</v>
      </c>
      <c r="M64">
        <f>SUM(テーブル117[[#This Row],[正確性]:[情報開示適切性]])</f>
        <v>0</v>
      </c>
      <c r="N64" t="e">
        <f>AVERAGE(テーブル117[[#This Row],[正確性]:[情報開示適切性]])</f>
        <v>#DIV/0!</v>
      </c>
    </row>
    <row r="65" spans="1:14">
      <c r="A65">
        <v>1500</v>
      </c>
      <c r="B65">
        <v>50</v>
      </c>
      <c r="C65">
        <v>6</v>
      </c>
      <c r="D65" t="s">
        <v>40</v>
      </c>
      <c r="E65" t="s">
        <v>16</v>
      </c>
      <c r="G65" t="s">
        <v>36</v>
      </c>
      <c r="M65">
        <f>SUM(テーブル117[[#This Row],[正確性]:[情報開示適切性]])</f>
        <v>0</v>
      </c>
      <c r="N65" t="e">
        <f>AVERAGE(テーブル117[[#This Row],[正確性]:[情報開示適切性]])</f>
        <v>#DIV/0!</v>
      </c>
    </row>
    <row r="66" spans="1:14">
      <c r="A66">
        <v>1500</v>
      </c>
      <c r="B66">
        <v>50</v>
      </c>
      <c r="C66">
        <v>7</v>
      </c>
      <c r="D66" t="s">
        <v>40</v>
      </c>
      <c r="E66" t="s">
        <v>17</v>
      </c>
      <c r="G66" t="s">
        <v>36</v>
      </c>
      <c r="M66">
        <f>SUM(テーブル117[[#This Row],[正確性]:[情報開示適切性]])</f>
        <v>0</v>
      </c>
      <c r="N66" t="e">
        <f>AVERAGE(テーブル117[[#This Row],[正確性]:[情報開示適切性]])</f>
        <v>#DIV/0!</v>
      </c>
    </row>
    <row r="67" spans="1:14">
      <c r="A67">
        <v>1500</v>
      </c>
      <c r="B67">
        <v>50</v>
      </c>
      <c r="C67">
        <v>8</v>
      </c>
      <c r="D67" t="s">
        <v>40</v>
      </c>
      <c r="E67" t="s">
        <v>18</v>
      </c>
      <c r="G67" t="s">
        <v>36</v>
      </c>
      <c r="M67">
        <f>SUM(テーブル117[[#This Row],[正確性]:[情報開示適切性]])</f>
        <v>0</v>
      </c>
      <c r="N67" t="e">
        <f>AVERAGE(テーブル117[[#This Row],[正確性]:[情報開示適切性]])</f>
        <v>#DIV/0!</v>
      </c>
    </row>
    <row r="68" spans="1:14">
      <c r="A68">
        <v>1500</v>
      </c>
      <c r="B68">
        <v>50</v>
      </c>
      <c r="C68">
        <v>9</v>
      </c>
      <c r="D68" t="s">
        <v>40</v>
      </c>
      <c r="E68" t="s">
        <v>19</v>
      </c>
      <c r="G68" t="s">
        <v>36</v>
      </c>
      <c r="M68">
        <f>SUM(テーブル117[[#This Row],[正確性]:[情報開示適切性]])</f>
        <v>0</v>
      </c>
      <c r="N68" t="e">
        <f>AVERAGE(テーブル117[[#This Row],[正確性]:[情報開示適切性]])</f>
        <v>#DIV/0!</v>
      </c>
    </row>
    <row r="69" spans="1:14">
      <c r="A69">
        <v>1500</v>
      </c>
      <c r="B69">
        <v>50</v>
      </c>
      <c r="C69">
        <v>10</v>
      </c>
      <c r="D69" t="s">
        <v>40</v>
      </c>
      <c r="E69" t="s">
        <v>20</v>
      </c>
      <c r="G69" t="s">
        <v>36</v>
      </c>
      <c r="M69">
        <f>SUM(テーブル117[[#This Row],[正確性]:[情報開示適切性]])</f>
        <v>0</v>
      </c>
      <c r="N69" t="e">
        <f>AVERAGE(テーブル117[[#This Row],[正確性]:[情報開示適切性]])</f>
        <v>#DIV/0!</v>
      </c>
    </row>
    <row r="70" spans="1:14">
      <c r="A70">
        <v>1500</v>
      </c>
      <c r="B70">
        <v>50</v>
      </c>
      <c r="C70">
        <v>11</v>
      </c>
      <c r="D70" t="s">
        <v>39</v>
      </c>
      <c r="E70" t="s">
        <v>21</v>
      </c>
      <c r="G70" t="s">
        <v>36</v>
      </c>
      <c r="M70">
        <f>SUM(テーブル117[[#This Row],[正確性]:[情報開示適切性]])</f>
        <v>0</v>
      </c>
      <c r="N70" t="e">
        <f>AVERAGE(テーブル117[[#This Row],[正確性]:[情報開示適切性]])</f>
        <v>#DIV/0!</v>
      </c>
    </row>
    <row r="71" spans="1:14">
      <c r="A71">
        <v>1500</v>
      </c>
      <c r="B71">
        <v>50</v>
      </c>
      <c r="C71">
        <v>12</v>
      </c>
      <c r="D71" t="s">
        <v>39</v>
      </c>
      <c r="E71" t="s">
        <v>22</v>
      </c>
      <c r="G71" t="s">
        <v>36</v>
      </c>
      <c r="M71">
        <f>SUM(テーブル117[[#This Row],[正確性]:[情報開示適切性]])</f>
        <v>0</v>
      </c>
      <c r="N71" t="e">
        <f>AVERAGE(テーブル117[[#This Row],[正確性]:[情報開示適切性]])</f>
        <v>#DIV/0!</v>
      </c>
    </row>
    <row r="72" spans="1:14">
      <c r="A72">
        <v>1500</v>
      </c>
      <c r="B72">
        <v>50</v>
      </c>
      <c r="C72">
        <v>13</v>
      </c>
      <c r="D72" t="s">
        <v>39</v>
      </c>
      <c r="E72" t="s">
        <v>23</v>
      </c>
      <c r="G72" t="s">
        <v>36</v>
      </c>
      <c r="M72">
        <f>SUM(テーブル117[[#This Row],[正確性]:[情報開示適切性]])</f>
        <v>0</v>
      </c>
      <c r="N72" t="e">
        <f>AVERAGE(テーブル117[[#This Row],[正確性]:[情報開示適切性]])</f>
        <v>#DIV/0!</v>
      </c>
    </row>
    <row r="73" spans="1:14">
      <c r="A73">
        <v>1500</v>
      </c>
      <c r="B73">
        <v>50</v>
      </c>
      <c r="C73">
        <v>14</v>
      </c>
      <c r="D73" t="s">
        <v>39</v>
      </c>
      <c r="E73" t="s">
        <v>24</v>
      </c>
      <c r="G73" t="s">
        <v>36</v>
      </c>
      <c r="M73">
        <f>SUM(テーブル117[[#This Row],[正確性]:[情報開示適切性]])</f>
        <v>0</v>
      </c>
      <c r="N73" t="e">
        <f>AVERAGE(テーブル117[[#This Row],[正確性]:[情報開示適切性]])</f>
        <v>#DIV/0!</v>
      </c>
    </row>
    <row r="74" spans="1:14">
      <c r="A74">
        <v>1500</v>
      </c>
      <c r="B74">
        <v>50</v>
      </c>
      <c r="C74">
        <v>15</v>
      </c>
      <c r="D74" t="s">
        <v>39</v>
      </c>
      <c r="E74" t="s">
        <v>25</v>
      </c>
      <c r="G74" t="s">
        <v>36</v>
      </c>
      <c r="M74">
        <f>SUM(テーブル117[[#This Row],[正確性]:[情報開示適切性]])</f>
        <v>0</v>
      </c>
      <c r="N74" t="e">
        <f>AVERAGE(テーブル117[[#This Row],[正確性]:[情報開示適切性]])</f>
        <v>#DIV/0!</v>
      </c>
    </row>
    <row r="75" spans="1:14">
      <c r="A75">
        <v>1500</v>
      </c>
      <c r="B75">
        <v>50</v>
      </c>
      <c r="C75">
        <v>16</v>
      </c>
      <c r="D75" t="s">
        <v>41</v>
      </c>
      <c r="E75" t="s">
        <v>26</v>
      </c>
      <c r="G75" t="s">
        <v>36</v>
      </c>
      <c r="M75">
        <f>SUM(テーブル117[[#This Row],[正確性]:[情報開示適切性]])</f>
        <v>0</v>
      </c>
      <c r="N75" t="e">
        <f>AVERAGE(テーブル117[[#This Row],[正確性]:[情報開示適切性]])</f>
        <v>#DIV/0!</v>
      </c>
    </row>
    <row r="76" spans="1:14">
      <c r="A76">
        <v>1500</v>
      </c>
      <c r="B76">
        <v>50</v>
      </c>
      <c r="C76">
        <v>17</v>
      </c>
      <c r="D76" t="s">
        <v>41</v>
      </c>
      <c r="E76" t="s">
        <v>27</v>
      </c>
      <c r="G76" t="s">
        <v>36</v>
      </c>
      <c r="M76">
        <f>SUM(テーブル117[[#This Row],[正確性]:[情報開示適切性]])</f>
        <v>0</v>
      </c>
      <c r="N76" t="e">
        <f>AVERAGE(テーブル117[[#This Row],[正確性]:[情報開示適切性]])</f>
        <v>#DIV/0!</v>
      </c>
    </row>
    <row r="77" spans="1:14">
      <c r="A77">
        <v>1500</v>
      </c>
      <c r="B77">
        <v>50</v>
      </c>
      <c r="C77">
        <v>18</v>
      </c>
      <c r="D77" t="s">
        <v>41</v>
      </c>
      <c r="E77" t="s">
        <v>28</v>
      </c>
      <c r="G77" t="s">
        <v>36</v>
      </c>
      <c r="M77">
        <f>SUM(テーブル117[[#This Row],[正確性]:[情報開示適切性]])</f>
        <v>0</v>
      </c>
      <c r="N77" t="e">
        <f>AVERAGE(テーブル117[[#This Row],[正確性]:[情報開示適切性]])</f>
        <v>#DIV/0!</v>
      </c>
    </row>
    <row r="78" spans="1:14">
      <c r="A78">
        <v>1500</v>
      </c>
      <c r="B78">
        <v>50</v>
      </c>
      <c r="C78">
        <v>19</v>
      </c>
      <c r="D78" t="s">
        <v>41</v>
      </c>
      <c r="E78" t="s">
        <v>29</v>
      </c>
      <c r="G78" t="s">
        <v>36</v>
      </c>
      <c r="M78">
        <f>SUM(テーブル117[[#This Row],[正確性]:[情報開示適切性]])</f>
        <v>0</v>
      </c>
      <c r="N78" t="e">
        <f>AVERAGE(テーブル117[[#This Row],[正確性]:[情報開示適切性]])</f>
        <v>#DIV/0!</v>
      </c>
    </row>
    <row r="79" spans="1:14">
      <c r="A79">
        <v>1500</v>
      </c>
      <c r="B79">
        <v>50</v>
      </c>
      <c r="C79">
        <v>20</v>
      </c>
      <c r="D79" t="s">
        <v>41</v>
      </c>
      <c r="E79" t="s">
        <v>30</v>
      </c>
      <c r="G79" t="s">
        <v>36</v>
      </c>
      <c r="M79">
        <f>SUM(テーブル117[[#This Row],[正確性]:[情報開示適切性]])</f>
        <v>0</v>
      </c>
      <c r="N79" t="e">
        <f>AVERAGE(テーブル117[[#This Row],[正確性]:[情報開示適切性]])</f>
        <v>#DIV/0!</v>
      </c>
    </row>
    <row r="80" spans="1:14">
      <c r="A80">
        <v>1500</v>
      </c>
      <c r="B80">
        <v>50</v>
      </c>
      <c r="C80">
        <v>21</v>
      </c>
      <c r="D80" t="s">
        <v>42</v>
      </c>
      <c r="E80" t="s">
        <v>31</v>
      </c>
      <c r="G80" t="s">
        <v>36</v>
      </c>
      <c r="M80">
        <f>SUM(テーブル117[[#This Row],[正確性]:[情報開示適切性]])</f>
        <v>0</v>
      </c>
      <c r="N80" t="e">
        <f>AVERAGE(テーブル117[[#This Row],[正確性]:[情報開示適切性]])</f>
        <v>#DIV/0!</v>
      </c>
    </row>
    <row r="81" spans="1:14">
      <c r="A81">
        <v>1500</v>
      </c>
      <c r="B81">
        <v>50</v>
      </c>
      <c r="C81">
        <v>22</v>
      </c>
      <c r="D81" t="s">
        <v>42</v>
      </c>
      <c r="E81" t="s">
        <v>32</v>
      </c>
      <c r="G81" t="s">
        <v>36</v>
      </c>
      <c r="M81">
        <f>SUM(テーブル117[[#This Row],[正確性]:[情報開示適切性]])</f>
        <v>0</v>
      </c>
      <c r="N81" t="e">
        <f>AVERAGE(テーブル117[[#This Row],[正確性]:[情報開示適切性]])</f>
        <v>#DIV/0!</v>
      </c>
    </row>
    <row r="82" spans="1:14">
      <c r="A82">
        <v>1500</v>
      </c>
      <c r="B82">
        <v>50</v>
      </c>
      <c r="C82">
        <v>23</v>
      </c>
      <c r="D82" t="s">
        <v>42</v>
      </c>
      <c r="E82" t="s">
        <v>33</v>
      </c>
      <c r="G82" t="s">
        <v>36</v>
      </c>
      <c r="M82">
        <f>SUM(テーブル117[[#This Row],[正確性]:[情報開示適切性]])</f>
        <v>0</v>
      </c>
      <c r="N82" t="e">
        <f>AVERAGE(テーブル117[[#This Row],[正確性]:[情報開示適切性]])</f>
        <v>#DIV/0!</v>
      </c>
    </row>
    <row r="83" spans="1:14">
      <c r="A83">
        <v>1500</v>
      </c>
      <c r="B83">
        <v>50</v>
      </c>
      <c r="C83">
        <v>24</v>
      </c>
      <c r="D83" t="s">
        <v>42</v>
      </c>
      <c r="E83" t="s">
        <v>34</v>
      </c>
      <c r="G83" t="s">
        <v>36</v>
      </c>
      <c r="M83">
        <f>SUM(テーブル117[[#This Row],[正確性]:[情報開示適切性]])</f>
        <v>0</v>
      </c>
      <c r="N83" t="e">
        <f>AVERAGE(テーブル117[[#This Row],[正確性]:[情報開示適切性]])</f>
        <v>#DIV/0!</v>
      </c>
    </row>
    <row r="84" spans="1:14">
      <c r="A84">
        <v>1500</v>
      </c>
      <c r="B84">
        <v>50</v>
      </c>
      <c r="C84">
        <v>25</v>
      </c>
      <c r="D84" t="s">
        <v>42</v>
      </c>
      <c r="E84" t="s">
        <v>35</v>
      </c>
      <c r="G84" t="s">
        <v>36</v>
      </c>
      <c r="M84">
        <f>SUM(テーブル117[[#This Row],[正確性]:[情報開示適切性]])</f>
        <v>0</v>
      </c>
      <c r="N84" t="e">
        <f>AVERAGE(テーブル117[[#This Row],[正確性]:[情報開示適切性]])</f>
        <v>#DIV/0!</v>
      </c>
    </row>
  </sheetData>
  <phoneticPr fontId="1"/>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chank=500</vt:lpstr>
      <vt:lpstr>chank=1000</vt:lpstr>
      <vt:lpstr>chank=1500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桑原光太朗</dc:creator>
  <cp:lastModifiedBy>光太朗 桑原</cp:lastModifiedBy>
  <dcterms:created xsi:type="dcterms:W3CDTF">2015-06-05T18:19:34Z</dcterms:created>
  <dcterms:modified xsi:type="dcterms:W3CDTF">2026-04-11T17:31:38Z</dcterms:modified>
</cp:coreProperties>
</file>